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S COMISIONES\"/>
    </mc:Choice>
  </mc:AlternateContent>
  <xr:revisionPtr revIDLastSave="0" documentId="13_ncr:1_{A67EB91E-65C6-44B3-8660-3F968D67541A}" xr6:coauthVersionLast="47" xr6:coauthVersionMax="47" xr10:uidLastSave="{00000000-0000-0000-0000-000000000000}"/>
  <bookViews>
    <workbookView xWindow="-120" yWindow="-120" windowWidth="29040" windowHeight="15840" firstSheet="1" activeTab="4" xr2:uid="{5CEDCE1B-36F5-41A9-BD0C-66064EFC68FD}"/>
  </bookViews>
  <sheets>
    <sheet name="Sucursales" sheetId="14" state="hidden" r:id="rId1"/>
    <sheet name="Inicio" sheetId="1" r:id="rId2"/>
    <sheet name="08 AGOSTO_Dif_Cobros" sheetId="509" r:id="rId3"/>
    <sheet name="08 AGOSTO_Dif_Conceptos" sheetId="508" r:id="rId4"/>
    <sheet name="no empatados_05.08.2022" sheetId="930" r:id="rId5"/>
    <sheet name="empatados_05.08.2022" sheetId="929" r:id="rId6"/>
    <sheet name="05.08.2022" sheetId="927" r:id="rId7"/>
    <sheet name="COMISIONES_03.08.2022" sheetId="926" r:id="rId8"/>
    <sheet name="SERVICIOS_03.08.2022" sheetId="925" r:id="rId9"/>
    <sheet name="03.06.2022" sheetId="282" state="hidden" r:id="rId10"/>
    <sheet name="02.06.2022" sheetId="280" state="hidden" r:id="rId11"/>
    <sheet name="01.06.2022" sheetId="278" state="hidden" r:id="rId1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59" i="925" l="1"/>
  <c r="H357" i="925"/>
  <c r="H355" i="925"/>
  <c r="Q287" i="927"/>
  <c r="R287" i="927" s="1"/>
  <c r="G279" i="925"/>
  <c r="G281" i="925" s="1"/>
  <c r="G229" i="925"/>
  <c r="G235" i="925" s="1"/>
  <c r="G140" i="925"/>
  <c r="G113" i="925"/>
  <c r="H353" i="925"/>
  <c r="G353" i="925"/>
  <c r="H344" i="925"/>
  <c r="G344" i="925"/>
  <c r="H340" i="925"/>
  <c r="G340" i="925"/>
  <c r="H335" i="925"/>
  <c r="G335" i="925"/>
  <c r="H327" i="925"/>
  <c r="G327" i="925"/>
  <c r="H323" i="925"/>
  <c r="G323" i="925"/>
  <c r="H299" i="925"/>
  <c r="G299" i="925"/>
  <c r="H289" i="925"/>
  <c r="G289" i="925"/>
  <c r="H281" i="925"/>
  <c r="H276" i="925"/>
  <c r="G276" i="925"/>
  <c r="I276" i="925" s="1"/>
  <c r="H264" i="925"/>
  <c r="G264" i="925"/>
  <c r="H235" i="925"/>
  <c r="H206" i="925"/>
  <c r="G206" i="925"/>
  <c r="H174" i="925"/>
  <c r="G174" i="925"/>
  <c r="H157" i="925"/>
  <c r="G157" i="925"/>
  <c r="H146" i="925"/>
  <c r="H109" i="925"/>
  <c r="G109" i="925"/>
  <c r="H85" i="925"/>
  <c r="G85" i="925"/>
  <c r="H71" i="925"/>
  <c r="G71" i="925"/>
  <c r="H64" i="925"/>
  <c r="G64" i="925"/>
  <c r="H52" i="925"/>
  <c r="G52" i="925"/>
  <c r="H29" i="925"/>
  <c r="G29" i="925"/>
  <c r="H21" i="925"/>
  <c r="G21" i="925"/>
  <c r="H14" i="925"/>
  <c r="G14" i="925"/>
  <c r="N287" i="927" l="1"/>
  <c r="S287" i="927" s="1"/>
  <c r="I323" i="925"/>
  <c r="G146" i="925"/>
  <c r="I146" i="925" s="1"/>
  <c r="H354" i="925"/>
  <c r="I353" i="925"/>
  <c r="I344" i="925"/>
  <c r="I340" i="925"/>
  <c r="I335" i="925"/>
  <c r="I327" i="925"/>
  <c r="I299" i="925"/>
  <c r="I289" i="925"/>
  <c r="I157" i="925"/>
  <c r="I281" i="925"/>
  <c r="I264" i="925"/>
  <c r="I235" i="925"/>
  <c r="I174" i="925"/>
  <c r="I206" i="925"/>
  <c r="I14" i="925"/>
  <c r="I109" i="925"/>
  <c r="I85" i="925"/>
  <c r="I64" i="925"/>
  <c r="I71" i="925"/>
  <c r="I29" i="925"/>
  <c r="I52" i="925"/>
  <c r="I21" i="925"/>
  <c r="Q62" i="282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I354" i="925" l="1"/>
  <c r="N247" i="278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<sst xmlns="http://schemas.openxmlformats.org/spreadsheetml/2006/main" count="10394" uniqueCount="1633">
  <si>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</si>
  <si>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</si>
  <si>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</si>
  <si>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</si>
  <si>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</si>
  <si>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</si>
  <si>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</si>
  <si>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</si>
  <si>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</si>
  <si>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</si>
  <si>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</si>
  <si>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</si>
  <si>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</si>
  <si>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</si>
  <si>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</si>
  <si>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</si>
  <si>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</si>
  <si>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</si>
  <si>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</si>
  <si>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</si>
  <si>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</si>
  <si>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</si>
  <si>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</si>
  <si>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</si>
  <si>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</si>
  <si>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</si>
  <si>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</si>
  <si>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</si>
  <si>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</si>
  <si>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</si>
  <si>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</si>
  <si>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</si>
  <si>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</si>
  <si>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</si>
  <si>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</si>
  <si>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</si>
  <si>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</si>
  <si>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</si>
  <si>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</si>
  <si>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</si>
  <si>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</si>
  <si>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</si>
  <si>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</si>
  <si>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</si>
  <si>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</si>
  <si>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</si>
  <si>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</si>
  <si>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</si>
  <si>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</si>
  <si>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</si>
  <si>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</si>
  <si>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</si>
  <si>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</si>
  <si>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</si>
  <si>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</si>
  <si>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</si>
  <si>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</si>
  <si>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</si>
  <si>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</si>
  <si>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</si>
  <si>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</si>
  <si>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</si>
  <si>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</si>
  <si>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</si>
  <si>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</si>
  <si>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</si>
  <si>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</si>
  <si>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</si>
  <si>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</si>
  <si>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</si>
  <si>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</si>
  <si>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</si>
  <si>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</si>
  <si>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</si>
  <si>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</si>
  <si>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</si>
  <si>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</si>
  <si>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</si>
  <si>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</si>
  <si>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</si>
  <si>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</si>
  <si>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</si>
  <si>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</si>
  <si>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</si>
  <si>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</si>
  <si>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</si>
  <si>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</si>
  <si>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</si>
  <si>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</si>
  <si>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</si>
  <si>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</si>
  <si>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</si>
  <si>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</si>
  <si>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</si>
  <si>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</si>
  <si>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</si>
  <si>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</si>
  <si>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</si>
  <si>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</si>
  <si>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</si>
  <si>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</si>
  <si>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</si>
  <si>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</si>
  <si>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</si>
  <si>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</si>
  <si>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</si>
  <si>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</si>
  <si>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</si>
  <si>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</si>
  <si>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</si>
  <si>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</si>
  <si>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</si>
  <si>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</si>
  <si>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</si>
  <si>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</si>
  <si>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</si>
  <si>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</si>
  <si>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</si>
  <si>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</si>
  <si>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</si>
  <si>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</si>
  <si>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</si>
  <si>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</si>
  <si>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</si>
  <si>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</si>
  <si>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</si>
  <si>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</si>
  <si>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</si>
  <si>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</si>
  <si>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</si>
  <si>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</si>
  <si>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</si>
  <si>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</si>
  <si>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</si>
  <si>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</si>
  <si>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</si>
  <si>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</si>
  <si>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</si>
  <si>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</si>
  <si>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</si>
  <si>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</si>
  <si>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</si>
  <si>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</si>
  <si>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</si>
  <si>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</si>
  <si>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</si>
  <si>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</si>
  <si>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</si>
  <si>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</si>
  <si>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</si>
  <si>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</si>
  <si>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</si>
  <si>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</si>
  <si>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</si>
  <si>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</si>
  <si>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</si>
  <si>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</si>
  <si>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</si>
  <si>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</si>
  <si>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</si>
  <si>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</si>
  <si>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</si>
  <si>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</si>
  <si>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</si>
  <si>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</si>
  <si>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</si>
  <si>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</si>
  <si>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</si>
  <si>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</si>
  <si>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</si>
  <si>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</si>
  <si>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</si>
  <si>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</si>
  <si>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</si>
  <si>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</si>
  <si>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</si>
  <si>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</si>
  <si>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</si>
  <si>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</si>
  <si>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</si>
  <si>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</si>
  <si>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</si>
  <si>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</si>
  <si>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</si>
  <si>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</si>
  <si>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</si>
  <si>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</si>
  <si>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</si>
  <si>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</si>
  <si>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</si>
  <si>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</si>
  <si>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</si>
  <si>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</si>
  <si>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</si>
  <si>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</si>
  <si>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</si>
  <si>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</si>
  <si>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</si>
  <si>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</si>
  <si>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</si>
  <si>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</si>
  <si>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</si>
  <si>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</si>
  <si>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</si>
  <si>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</si>
  <si>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</si>
  <si>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</si>
  <si>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</si>
  <si>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</si>
  <si>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</si>
  <si>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</si>
  <si>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</si>
  <si>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</si>
  <si>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</si>
  <si>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</si>
  <si>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</si>
  <si>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</si>
  <si>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</si>
  <si>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</si>
  <si>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</si>
  <si>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</si>
  <si>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</si>
  <si>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</si>
  <si>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</si>
  <si>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</si>
  <si>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</si>
  <si>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</si>
  <si>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</si>
  <si>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</si>
  <si>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</si>
  <si>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</si>
  <si>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</si>
  <si>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</si>
  <si>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</si>
  <si>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</si>
  <si>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</si>
  <si>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</si>
  <si>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</si>
  <si>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</si>
  <si>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</si>
  <si>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</si>
  <si>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</si>
  <si>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</si>
  <si>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</si>
  <si>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</si>
  <si>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</si>
  <si>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</si>
  <si>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</si>
  <si>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</si>
  <si>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</si>
  <si>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</si>
  <si>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</si>
  <si>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</si>
  <si>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</si>
  <si>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</si>
  <si>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</si>
  <si>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</si>
  <si>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</si>
  <si>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</si>
  <si>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</si>
  <si>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</si>
  <si>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</si>
  <si>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</si>
  <si>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</si>
  <si>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</si>
  <si>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</si>
  <si>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</si>
  <si>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</si>
  <si>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</si>
  <si>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</si>
  <si>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</si>
  <si>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</si>
  <si>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</si>
  <si>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</si>
  <si>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</si>
  <si>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</si>
  <si>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</si>
  <si>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</si>
  <si>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</si>
  <si>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</si>
  <si>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</si>
  <si>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</si>
  <si>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</si>
  <si>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</si>
  <si>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</si>
  <si>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</si>
  <si>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</si>
  <si>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</si>
  <si>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</si>
  <si>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</si>
  <si>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</si>
  <si>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</si>
  <si>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</si>
  <si>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</si>
  <si>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</si>
  <si>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</si>
  <si>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</si>
  <si>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</si>
  <si>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</si>
  <si>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</si>
  <si>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</si>
  <si>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</si>
  <si>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</si>
  <si>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</si>
  <si>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</si>
  <si>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</si>
  <si>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</si>
  <si>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</si>
  <si>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</si>
  <si>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</si>
  <si>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</si>
  <si>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</si>
  <si>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</si>
  <si>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</si>
  <si>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</si>
  <si>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</si>
  <si>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</si>
  <si>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</si>
  <si>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</si>
  <si>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</si>
  <si>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</si>
  <si>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</si>
  <si>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</si>
  <si>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</si>
  <si>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</si>
  <si>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</si>
  <si>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</si>
  <si>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</si>
  <si>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</si>
  <si>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</si>
  <si>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</si>
  <si>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</si>
  <si>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</si>
  <si>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</si>
  <si>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</si>
  <si>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</si>
  <si>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</si>
  <si>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</si>
  <si>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</si>
  <si>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</si>
  <si>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</si>
  <si>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</si>
  <si>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</si>
  <si>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</si>
  <si>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</si>
  <si>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</si>
  <si>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</si>
  <si>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</si>
  <si>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</si>
  <si>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</si>
  <si>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</si>
  <si>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</si>
  <si>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</si>
  <si>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</si>
  <si>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</si>
  <si>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</si>
  <si>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</si>
  <si>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</si>
  <si>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</si>
  <si>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</si>
  <si>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</si>
  <si>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</si>
  <si>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</si>
  <si>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</si>
  <si>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</si>
  <si>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</si>
  <si>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</si>
  <si>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</si>
  <si>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</si>
  <si>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</si>
  <si>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</si>
  <si>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</si>
  <si>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</si>
  <si>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</si>
  <si>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</si>
  <si>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</si>
  <si>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</si>
  <si>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</si>
  <si>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</si>
  <si>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</si>
  <si>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</si>
  <si>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</si>
  <si>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</si>
  <si>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</si>
  <si>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</si>
  <si>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</si>
  <si>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</si>
  <si>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</si>
  <si>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</si>
  <si>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</si>
  <si>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</si>
  <si>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</si>
  <si>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</si>
  <si>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</si>
  <si>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</si>
  <si>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</si>
  <si>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</si>
  <si>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</si>
  <si>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</si>
  <si>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</si>
  <si>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</si>
  <si>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</si>
  <si>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</si>
  <si>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</si>
  <si>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</si>
  <si>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</si>
  <si>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</si>
  <si>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</si>
  <si>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</si>
  <si>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</si>
  <si>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</si>
  <si>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</si>
  <si>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</si>
  <si>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</si>
  <si>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</si>
  <si>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</si>
  <si>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</si>
  <si>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</si>
  <si>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</si>
  <si>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</si>
  <si>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</si>
  <si>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</si>
  <si>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</si>
  <si>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</si>
  <si>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</si>
  <si>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</si>
  <si>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</si>
  <si>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</si>
  <si>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</si>
  <si>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</si>
  <si>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</si>
  <si>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</si>
  <si>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</si>
  <si>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</si>
  <si>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</si>
  <si>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</si>
  <si>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</si>
  <si>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</si>
  <si>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</si>
  <si>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</si>
  <si>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</si>
  <si>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</si>
  <si>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</si>
  <si>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</si>
  <si>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</si>
  <si>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</si>
  <si>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</si>
  <si>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</si>
  <si>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</si>
  <si>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</si>
  <si>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</si>
  <si>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</si>
  <si>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</si>
  <si>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</si>
  <si>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</si>
  <si>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</si>
  <si>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</si>
  <si>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</si>
  <si>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</si>
  <si>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</si>
  <si>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</si>
  <si>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</si>
  <si>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</si>
  <si>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</si>
  <si>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</si>
  <si>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</si>
  <si>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</si>
  <si>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</si>
  <si>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</si>
  <si>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</si>
  <si>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</si>
  <si>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</si>
  <si>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</si>
  <si>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</si>
  <si>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</si>
  <si>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</si>
  <si>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</si>
  <si>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</si>
  <si>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</si>
  <si>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</si>
  <si>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</si>
  <si>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</si>
  <si>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</si>
  <si>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</si>
  <si>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</si>
  <si>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</si>
  <si>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</si>
  <si>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</si>
  <si>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</si>
  <si>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</si>
  <si>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</si>
  <si>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</si>
  <si>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</si>
  <si>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</si>
  <si>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</si>
  <si>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</si>
  <si>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</si>
  <si>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</si>
  <si>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</si>
  <si>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</si>
  <si>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</si>
  <si>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</si>
  <si>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</si>
  <si>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</si>
  <si>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</si>
  <si>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</si>
  <si>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</si>
  <si>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</si>
  <si>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</si>
  <si>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</si>
  <si>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</si>
  <si>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</si>
  <si>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</si>
  <si>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</si>
  <si>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</si>
  <si>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</si>
  <si>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</si>
  <si>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</si>
  <si>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</si>
  <si>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</si>
  <si>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</si>
  <si>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</si>
  <si>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</si>
  <si>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</si>
  <si>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</si>
  <si>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</si>
  <si>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</si>
  <si>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</si>
  <si>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</si>
  <si>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</si>
  <si>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</si>
  <si>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</si>
  <si>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</si>
  <si>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</si>
  <si>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</si>
  <si>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</si>
  <si>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</si>
  <si>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</si>
  <si>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</si>
  <si>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</si>
  <si>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</si>
  <si>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</si>
  <si>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</si>
  <si>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</si>
  <si>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</si>
  <si>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</si>
  <si>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</si>
  <si>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</si>
  <si>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</si>
  <si>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</si>
  <si>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</si>
  <si>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</si>
  <si>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</si>
  <si>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</si>
  <si>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</si>
  <si>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</si>
  <si>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</si>
  <si>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</si>
  <si>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</si>
  <si>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</si>
  <si>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</si>
  <si>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</si>
  <si>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</si>
  <si>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</si>
  <si>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</si>
  <si>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</si>
  <si>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</si>
  <si>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</si>
  <si>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</si>
  <si>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</si>
  <si>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</si>
  <si>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</si>
  <si>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</si>
  <si>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</si>
  <si>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</si>
  <si>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</si>
  <si>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</si>
  <si>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</si>
  <si>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</si>
  <si>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</si>
  <si>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</si>
  <si>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</si>
  <si>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</si>
  <si>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</si>
  <si>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</si>
  <si>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</si>
  <si>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</si>
  <si>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</si>
  <si>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</si>
  <si>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</si>
  <si>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</si>
  <si>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</si>
  <si>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</si>
  <si>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</si>
  <si>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</si>
  <si>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</si>
  <si>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</si>
  <si>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</si>
  <si>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</si>
  <si>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</si>
  <si>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</si>
  <si>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</si>
  <si>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</si>
  <si>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</si>
  <si>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</si>
  <si>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</si>
  <si>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</si>
  <si>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</si>
  <si>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</si>
  <si>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</si>
  <si>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</si>
  <si>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</si>
  <si>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</si>
  <si>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</si>
  <si>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</si>
  <si>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</si>
  <si>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</si>
  <si>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</si>
  <si>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</si>
  <si>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</si>
  <si>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</si>
  <si>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</si>
  <si>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</si>
  <si>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</si>
  <si>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</si>
  <si>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</si>
  <si>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</si>
  <si>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</si>
  <si>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</si>
  <si>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</si>
  <si>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</si>
  <si>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</si>
  <si>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</si>
  <si>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</si>
  <si>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</si>
  <si>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</si>
  <si>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</si>
  <si>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</si>
  <si>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</si>
  <si>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</si>
  <si>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</si>
  <si>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</si>
  <si>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</si>
  <si>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</si>
  <si>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</si>
  <si>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</si>
  <si>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</si>
  <si>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</si>
  <si>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</si>
  <si>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</si>
  <si>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</si>
  <si>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</si>
  <si>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</si>
  <si>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</si>
  <si>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</si>
  <si>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</si>
  <si>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</si>
  <si>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</si>
  <si>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</si>
  <si>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</si>
  <si>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</si>
  <si>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</si>
  <si>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</si>
  <si>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</si>
  <si>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</si>
  <si>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</si>
  <si>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</si>
  <si>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</si>
  <si>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</si>
  <si>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</si>
  <si>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</si>
  <si>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</si>
  <si>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</si>
  <si>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</si>
  <si>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</si>
  <si>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</si>
  <si>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</si>
  <si>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</si>
  <si>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</si>
  <si>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</si>
  <si>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</si>
  <si>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</si>
  <si>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</si>
  <si>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</si>
  <si>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</si>
  <si>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</si>
  <si>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</si>
  <si>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</si>
  <si>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</si>
  <si>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</si>
  <si>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</si>
  <si>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IMPORTE</t>
  </si>
  <si>
    <t>Archivo MNGR_COM:</t>
  </si>
  <si>
    <t>CAJA</t>
  </si>
  <si>
    <t>FECHA</t>
  </si>
  <si>
    <t>HORA</t>
  </si>
  <si>
    <t>VENDEDOR</t>
  </si>
  <si>
    <t>COMENTARIO</t>
  </si>
  <si>
    <t>CONCEPT</t>
  </si>
  <si>
    <t>OBSERVACION</t>
  </si>
  <si>
    <t>ESTATUS</t>
  </si>
  <si>
    <t>FECHA PAGO</t>
  </si>
  <si>
    <t>08 AGOSTO</t>
  </si>
  <si>
    <t>ROSALBA NILA BALBUENA</t>
  </si>
  <si>
    <t>RECIBO VE TV/SKY</t>
  </si>
  <si>
    <t>PIN GOOGLE PLAY</t>
  </si>
  <si>
    <t>FERNANDO BARRAGAN CORTES</t>
  </si>
  <si>
    <t>JUAN JOSE DURAN DEL VALLE</t>
  </si>
  <si>
    <t>GABRIELA MARLEN ROJAS OLEA</t>
  </si>
  <si>
    <t>RECIBO CFE IUSA</t>
  </si>
  <si>
    <t>SANDRA REYES CRUZ</t>
  </si>
  <si>
    <t>FRANCISCA GALINDO GUERRERO</t>
  </si>
  <si>
    <t>COMISION POR RETIRO</t>
  </si>
  <si>
    <t>COMISION</t>
  </si>
  <si>
    <t>ROSALIA PEREZ ORTEGA</t>
  </si>
  <si>
    <t>AZAREL ELIAS RAMIREZ</t>
  </si>
  <si>
    <t>MARLEN CORONEL RUIZ</t>
  </si>
  <si>
    <t>VILMA SOLANO GARCIA</t>
  </si>
  <si>
    <t>JOSE MIGUEL SORIANO CRUZ</t>
  </si>
  <si>
    <t>YENIFER HERNANDEZ MARQUEZ</t>
  </si>
  <si>
    <t>JAIME FLORES CABALLERO</t>
  </si>
  <si>
    <t>SERGIO FELIPE ROJAS MARTINEZ</t>
  </si>
  <si>
    <t>ENCARGADO TEMP 1</t>
  </si>
  <si>
    <t>MARITZA HERNANDEZ MONTES</t>
  </si>
  <si>
    <t>ALBINO LAZARO URAGA GONZALEZ</t>
  </si>
  <si>
    <t>LETICIA ANAHI RUIZ ROJAS</t>
  </si>
  <si>
    <t>YESENIA SIERRA HERRERA</t>
  </si>
  <si>
    <t>MAYRA ORTEGA VELAZQUEZ</t>
  </si>
  <si>
    <t>JUANA ALVAREZ CRUZ</t>
  </si>
  <si>
    <t>JOAQUIN GUADALUPE ARIAS AMACOSTA</t>
  </si>
  <si>
    <t>ITZEL JIMENEZ CORTES</t>
  </si>
  <si>
    <t>ENCARGADO TEMP 3</t>
  </si>
  <si>
    <t>FABIOLA ESPINOSA LUNA</t>
  </si>
  <si>
    <t>ARELY MARTINEZ HERNANDEZ</t>
  </si>
  <si>
    <t>ALEJANDRO MARTINEZ CRUZ</t>
  </si>
  <si>
    <t>MIRNA ALMA MORALES SORIANO</t>
  </si>
  <si>
    <t>GRISELDA GONZALEZ MARTINEZ</t>
  </si>
  <si>
    <t>RAQUEL RIVERO ACEVEDO</t>
  </si>
  <si>
    <t>CAMELIA RIVERA MORALES</t>
  </si>
  <si>
    <t>GABRIELA VAZQUEZ CRUZ</t>
  </si>
  <si>
    <t>AZUCENA MARTINEZ CISNEROS</t>
  </si>
  <si>
    <t>YESENIA MARTINEZ CISNEROS</t>
  </si>
  <si>
    <t>RUTH YARITZI MENDOZA MEZA</t>
  </si>
  <si>
    <t>GUADALUPE BELLO MONTESINOS</t>
  </si>
  <si>
    <t>Caja</t>
  </si>
  <si>
    <t>Hora</t>
  </si>
  <si>
    <t>Vendedor</t>
  </si>
  <si>
    <t>Comentario</t>
  </si>
  <si>
    <t>Concepto</t>
  </si>
  <si>
    <t>PAGO SERVICIO IUSA</t>
  </si>
  <si>
    <t>NumTicket</t>
  </si>
  <si>
    <t>UnidadTotal</t>
  </si>
  <si>
    <t>PAGO 0622</t>
  </si>
  <si>
    <t>PAGO 0722</t>
  </si>
  <si>
    <t>encontrado</t>
  </si>
  <si>
    <t>697140582710</t>
  </si>
  <si>
    <t>E697140582710</t>
  </si>
  <si>
    <t>697001231848</t>
  </si>
  <si>
    <t>697910701046</t>
  </si>
  <si>
    <t>E697910701046</t>
  </si>
  <si>
    <t>697910701054</t>
  </si>
  <si>
    <t>E697910701054</t>
  </si>
  <si>
    <t>697110595515</t>
  </si>
  <si>
    <t>697151193545</t>
  </si>
  <si>
    <t>697060327280</t>
  </si>
  <si>
    <t>E697060327280</t>
  </si>
  <si>
    <t>697931103301</t>
  </si>
  <si>
    <t>697040851365</t>
  </si>
  <si>
    <t>E697040851365</t>
  </si>
  <si>
    <t>697970305808</t>
  </si>
  <si>
    <t>E697970305808</t>
  </si>
  <si>
    <t>697140472761</t>
  </si>
  <si>
    <t>697971003775</t>
  </si>
  <si>
    <t>697130881557</t>
  </si>
  <si>
    <t>E697130881557</t>
  </si>
  <si>
    <t>697050319050</t>
  </si>
  <si>
    <t>E697050319050</t>
  </si>
  <si>
    <t>697080132191</t>
  </si>
  <si>
    <t>E697080132191</t>
  </si>
  <si>
    <t>697860400694</t>
  </si>
  <si>
    <t>E697860400694</t>
  </si>
  <si>
    <t>697890500847</t>
  </si>
  <si>
    <t>697130880780</t>
  </si>
  <si>
    <t>697060220191</t>
  </si>
  <si>
    <t>E697060220191</t>
  </si>
  <si>
    <t>697090497422</t>
  </si>
  <si>
    <t>E697090497422</t>
  </si>
  <si>
    <t>697101294537</t>
  </si>
  <si>
    <t>697940990751</t>
  </si>
  <si>
    <t>E697940990751</t>
  </si>
  <si>
    <t>697120292022</t>
  </si>
  <si>
    <t>697030930321</t>
  </si>
  <si>
    <t>E697030930321</t>
  </si>
  <si>
    <t>697871000141</t>
  </si>
  <si>
    <t>697040551353</t>
  </si>
  <si>
    <t>697040852418</t>
  </si>
  <si>
    <t>E697040852418</t>
  </si>
  <si>
    <t>697970606123</t>
  </si>
  <si>
    <t>E697970606123</t>
  </si>
  <si>
    <t>697010452873</t>
  </si>
  <si>
    <t>E697010452873</t>
  </si>
  <si>
    <t>697840100589</t>
  </si>
  <si>
    <t>E697840100589</t>
  </si>
  <si>
    <t>697140180867</t>
  </si>
  <si>
    <t>E697140180867</t>
  </si>
  <si>
    <t>696920800259</t>
  </si>
  <si>
    <t>E696920800259</t>
  </si>
  <si>
    <t>696871100556</t>
  </si>
  <si>
    <t>E696871100556</t>
  </si>
  <si>
    <t>697850500437</t>
  </si>
  <si>
    <t>E697850500437</t>
  </si>
  <si>
    <t>697920504940</t>
  </si>
  <si>
    <t>697960630506</t>
  </si>
  <si>
    <t>E697960630506</t>
  </si>
  <si>
    <t>697091296749</t>
  </si>
  <si>
    <t>697081092509</t>
  </si>
  <si>
    <t>697140580679</t>
  </si>
  <si>
    <t>E697140580679</t>
  </si>
  <si>
    <t>697090195434</t>
  </si>
  <si>
    <t>E697090195434</t>
  </si>
  <si>
    <t>Caja: 041</t>
  </si>
  <si>
    <t>Caja: 061</t>
  </si>
  <si>
    <t>Caja: 071</t>
  </si>
  <si>
    <t>Caja: 081</t>
  </si>
  <si>
    <t>Caja: 091</t>
  </si>
  <si>
    <t>Caja: 101</t>
  </si>
  <si>
    <t>Caja: 111</t>
  </si>
  <si>
    <t>Caja: 121</t>
  </si>
  <si>
    <t>Caja: 131</t>
  </si>
  <si>
    <t>Caja: 141</t>
  </si>
  <si>
    <t>Caja: 161</t>
  </si>
  <si>
    <t>Caja: 261</t>
  </si>
  <si>
    <t>Caja: 271</t>
  </si>
  <si>
    <t>-</t>
  </si>
  <si>
    <t>IVA</t>
  </si>
  <si>
    <t>Total a pagar</t>
  </si>
  <si>
    <t>Total a pagar (IUSA)</t>
  </si>
  <si>
    <t>09:16:37 a. m.</t>
  </si>
  <si>
    <t>12:11:36 p. m.</t>
  </si>
  <si>
    <t>12:14:18 p. m.</t>
  </si>
  <si>
    <t>01:42:40 p. m.</t>
  </si>
  <si>
    <t>01:44:56 p. m.</t>
  </si>
  <si>
    <t>02:45:27 p. m.</t>
  </si>
  <si>
    <t>06:44:33 p. m.</t>
  </si>
  <si>
    <t>03:53:30 p. m.</t>
  </si>
  <si>
    <t>11:01:31 a. m.</t>
  </si>
  <si>
    <t>11:12:37 a. m.</t>
  </si>
  <si>
    <t>10:15:07 a. m.</t>
  </si>
  <si>
    <t>05:54:08 p. m.</t>
  </si>
  <si>
    <t>05:56:09 p. m.</t>
  </si>
  <si>
    <t>02:49:15 p. m.</t>
  </si>
  <si>
    <t>07:18:01 p. m.</t>
  </si>
  <si>
    <t>09:23:47 p. m.</t>
  </si>
  <si>
    <t>09:25:39 p. m.</t>
  </si>
  <si>
    <t>09:28:11 p. m.</t>
  </si>
  <si>
    <t>10:56:39 a. m.</t>
  </si>
  <si>
    <t>03:19:11 p. m.</t>
  </si>
  <si>
    <t>03:26:11 p. m.</t>
  </si>
  <si>
    <t>11:24:41 a. m.</t>
  </si>
  <si>
    <t>06:09:25 p. m.</t>
  </si>
  <si>
    <t>07:24:55 p. m.</t>
  </si>
  <si>
    <t>10:41:08 a. m.</t>
  </si>
  <si>
    <t>06:05:39 p. m.</t>
  </si>
  <si>
    <t>07:46:49 p. m.</t>
  </si>
  <si>
    <t>07:48:29 p. m.</t>
  </si>
  <si>
    <t>09:54:19 a. m.</t>
  </si>
  <si>
    <t>10:39:39 a. m.</t>
  </si>
  <si>
    <t>01:15:37 p. m.</t>
  </si>
  <si>
    <t>04:47:25 p. m.</t>
  </si>
  <si>
    <t>10:51:42 a. m.</t>
  </si>
  <si>
    <t>10:53:42 a. m.</t>
  </si>
  <si>
    <t>09:55:27 a. m.</t>
  </si>
  <si>
    <t>12:00:32 p. m.</t>
  </si>
  <si>
    <t>02:49:25 p. m.</t>
  </si>
  <si>
    <t>03:24:44 p. m.</t>
  </si>
  <si>
    <t>06:58:53 p. m.</t>
  </si>
  <si>
    <t>IUSA</t>
  </si>
  <si>
    <t>Operador IUSA</t>
  </si>
  <si>
    <t>Manager</t>
  </si>
  <si>
    <t>SUPER PLUS 41</t>
  </si>
  <si>
    <t>SUPER PLUS 61</t>
  </si>
  <si>
    <t>SUPER PLUS 71</t>
  </si>
  <si>
    <t>SUPER PLUS 81</t>
  </si>
  <si>
    <t>SUPER PLUS 91</t>
  </si>
  <si>
    <t>SUPER PLUS 101</t>
  </si>
  <si>
    <t>SUPER PLUS 111</t>
  </si>
  <si>
    <t>SUPER PLUS 121</t>
  </si>
  <si>
    <t>SUPER PLUS 131</t>
  </si>
  <si>
    <t>SUPER PLUS 141</t>
  </si>
  <si>
    <t>SUPER PLUS 161</t>
  </si>
  <si>
    <t>SUPER PLUS 261</t>
  </si>
  <si>
    <t>SUPER PLUS 271</t>
  </si>
  <si>
    <t>FALTA DAR DE BAJA ESTA COMISION</t>
  </si>
  <si>
    <t>MARCELA MENDOZA MORALES</t>
  </si>
  <si>
    <t>NANCY ADRIANA HERRERA VASQUEZ</t>
  </si>
  <si>
    <t>MARIA ESBEIDE GALLEGOS HERNANDEZ</t>
  </si>
  <si>
    <t>EDUARDO DAVID CRUZ MUÑOZ</t>
  </si>
  <si>
    <t>MARIANA CHAVES OSORIO</t>
  </si>
  <si>
    <t>PEDRO GARCIA DIAZ</t>
  </si>
  <si>
    <t>DANIEL BRAULIO FRANCO CRUZ</t>
  </si>
  <si>
    <t>ELIEL BUDAR CEDILLO</t>
  </si>
  <si>
    <t>CARLOS EDUARDO APOLINAR CASTRO</t>
  </si>
  <si>
    <t>JULIO ARMANDO CRUZ CENOBIO</t>
  </si>
  <si>
    <t>ALEXIS RAMIREZ SALAZAR</t>
  </si>
  <si>
    <t>YURIKO SANTIAGO GUERRERO</t>
  </si>
  <si>
    <t>ADAENA LOPEZ ZUÑIGA</t>
  </si>
  <si>
    <t>AVITH GARCIA SANTIAGO</t>
  </si>
  <si>
    <t>09:13:27 a. m.</t>
  </si>
  <si>
    <t>05:41:21 p. m.</t>
  </si>
  <si>
    <t>05:47:30 p. m.</t>
  </si>
  <si>
    <t>10:04:22 p. m.</t>
  </si>
  <si>
    <t>08:33:24 a. m.</t>
  </si>
  <si>
    <t>08:34:23 a. m.</t>
  </si>
  <si>
    <t>08:35:24 a. m.</t>
  </si>
  <si>
    <t>04:49:11 p. m.</t>
  </si>
  <si>
    <t>09:04:19 a. m.</t>
  </si>
  <si>
    <t>09:05:28 a. m.</t>
  </si>
  <si>
    <t>02:16:38 p. m.</t>
  </si>
  <si>
    <t>05:55:14 p. m.</t>
  </si>
  <si>
    <t>06:10:34 p. m.</t>
  </si>
  <si>
    <t>06:26:46 p. m.</t>
  </si>
  <si>
    <t>07:46:02 p. m.</t>
  </si>
  <si>
    <t>08:02:02 p. m.</t>
  </si>
  <si>
    <t>09:01:54 p. m.</t>
  </si>
  <si>
    <t>09:28:42 p. m.</t>
  </si>
  <si>
    <t>06:14:01 p. m.</t>
  </si>
  <si>
    <t>08:31:38 p. m.</t>
  </si>
  <si>
    <t>10:00:35 p. m.</t>
  </si>
  <si>
    <t>11:22:12 a. m.</t>
  </si>
  <si>
    <t>04:21:30 p. m.</t>
  </si>
  <si>
    <t>07:42:35 p. m.</t>
  </si>
  <si>
    <t>07:49:26 p. m.</t>
  </si>
  <si>
    <t>07:45:12 a. m.</t>
  </si>
  <si>
    <t>09:20:17 a. m.</t>
  </si>
  <si>
    <t>09:22:38 a. m.</t>
  </si>
  <si>
    <t>09:24:47 a. m.</t>
  </si>
  <si>
    <t>11:59:32 a. m.</t>
  </si>
  <si>
    <t>12:03:49 p. m.</t>
  </si>
  <si>
    <t>05:19:08 p. m.</t>
  </si>
  <si>
    <t>05:20:56 p. m.</t>
  </si>
  <si>
    <t>05:24:03 p. m.</t>
  </si>
  <si>
    <t>05:49:46 p. m.</t>
  </si>
  <si>
    <t>08:19:19 p. m.</t>
  </si>
  <si>
    <t>08:46:28 p. m.</t>
  </si>
  <si>
    <t>07:15:57 a. m.</t>
  </si>
  <si>
    <t>08:32:17 a. m.</t>
  </si>
  <si>
    <t>09:11:35 a. m.</t>
  </si>
  <si>
    <t>04:24:46 p. m.</t>
  </si>
  <si>
    <t>04:26:34 p. m.</t>
  </si>
  <si>
    <t>05:22:20 p. m.</t>
  </si>
  <si>
    <t>06:34:51 p. m.</t>
  </si>
  <si>
    <t>06:38:17 p. m.</t>
  </si>
  <si>
    <t>06:53:43 p. m.</t>
  </si>
  <si>
    <t>06:56:20 p. m.</t>
  </si>
  <si>
    <t>06:59:08 p. m.</t>
  </si>
  <si>
    <t>09:11:11 p. m.</t>
  </si>
  <si>
    <t>09:25:34 p. m.</t>
  </si>
  <si>
    <t>09:42:37 p. m.</t>
  </si>
  <si>
    <t>09:44:38 p. m.</t>
  </si>
  <si>
    <t>09:50:33 p. m.</t>
  </si>
  <si>
    <t>10:06:55 p. m.</t>
  </si>
  <si>
    <t>10:54:32 p. m.</t>
  </si>
  <si>
    <t>06:48:13 p. m.</t>
  </si>
  <si>
    <t>09:15:53 p. m.</t>
  </si>
  <si>
    <t>11:04:31 p. m.</t>
  </si>
  <si>
    <t>10:38:51 a. m.</t>
  </si>
  <si>
    <t>01:01:52 p. m.</t>
  </si>
  <si>
    <t>03:33:41 p. m.</t>
  </si>
  <si>
    <t>07:56:15 p. m.</t>
  </si>
  <si>
    <t>08:02:46 p. m.</t>
  </si>
  <si>
    <t>10:47:34 p. m.</t>
  </si>
  <si>
    <t>10:27:18 a. m.</t>
  </si>
  <si>
    <t>11:00:56 a. m.</t>
  </si>
  <si>
    <t>11:20:29 a. m.</t>
  </si>
  <si>
    <t>01:06:44 p. m.</t>
  </si>
  <si>
    <t>04:02:34 p. m.</t>
  </si>
  <si>
    <t>05:37:01 p. m.</t>
  </si>
  <si>
    <t>05:51:28 p. m.</t>
  </si>
  <si>
    <t>05:55:23 p. m.</t>
  </si>
  <si>
    <t>05:59:14 p. m.</t>
  </si>
  <si>
    <t>06:17:14 p. m.</t>
  </si>
  <si>
    <t>07:55:32 p. m.</t>
  </si>
  <si>
    <t>08:28:54 p. m.</t>
  </si>
  <si>
    <t>08:55:27 p. m.</t>
  </si>
  <si>
    <t>08:59:49 p. m.</t>
  </si>
  <si>
    <t>09:30:48 p. m.</t>
  </si>
  <si>
    <t>09:37:10 p. m.</t>
  </si>
  <si>
    <t>09:45:26 p. m.</t>
  </si>
  <si>
    <t>09:57:38 p. m.</t>
  </si>
  <si>
    <t>10:54:43 p. m.</t>
  </si>
  <si>
    <t>10:59:16 p. m.</t>
  </si>
  <si>
    <t>07:13:03 a. m.</t>
  </si>
  <si>
    <t>09:16:05 a. m.</t>
  </si>
  <si>
    <t>09:30:56 a. m.</t>
  </si>
  <si>
    <t>09:54:49 a. m.</t>
  </si>
  <si>
    <t>01:01:18 p. m.</t>
  </si>
  <si>
    <t>01:05:16 p. m.</t>
  </si>
  <si>
    <t>03:09:46 p. m.</t>
  </si>
  <si>
    <t>03:13:43 p. m.</t>
  </si>
  <si>
    <t>03:50:27 p. m.</t>
  </si>
  <si>
    <t>08:27:34 a. m.</t>
  </si>
  <si>
    <t>11:39:51 a. m.</t>
  </si>
  <si>
    <t>01:34:38 p. m.</t>
  </si>
  <si>
    <t>05:10:44 p. m.</t>
  </si>
  <si>
    <t>08:45:29 p. m.</t>
  </si>
  <si>
    <t>07:01:33 p. m.</t>
  </si>
  <si>
    <t>03:59:30 p. m.</t>
  </si>
  <si>
    <t>07:02:13 p. m.</t>
  </si>
  <si>
    <t>08:41:51 p. m.</t>
  </si>
  <si>
    <t>05:13:21 p. m.</t>
  </si>
  <si>
    <t>09:21:27 p. m.</t>
  </si>
  <si>
    <t>09:27:18 p. m.</t>
  </si>
  <si>
    <t>09:57:00 a. m.</t>
  </si>
  <si>
    <t>01:22:30 p. m.</t>
  </si>
  <si>
    <t>06:00:48 p. m.</t>
  </si>
  <si>
    <t>07:32:29 p. m.</t>
  </si>
  <si>
    <t>08:55:30 p. m.</t>
  </si>
  <si>
    <t>12:40:02 p. m.</t>
  </si>
  <si>
    <t>10:07:11 p. m.</t>
  </si>
  <si>
    <t>07:41:47 p. m.</t>
  </si>
  <si>
    <t>07:44:01 p. m.</t>
  </si>
  <si>
    <t>09:27:42 a. m.</t>
  </si>
  <si>
    <t>07:56:05 p. m.</t>
  </si>
  <si>
    <t>09:45:33 p. m.</t>
  </si>
  <si>
    <t>10:40:38 p. m.</t>
  </si>
  <si>
    <t>10:44:45 p. m.</t>
  </si>
  <si>
    <t>SUPER PLUS 51</t>
  </si>
  <si>
    <t>SUPER PLUS 191</t>
  </si>
  <si>
    <t>SUPER PLUS 231</t>
  </si>
  <si>
    <t>SUPER PLUS 361</t>
  </si>
  <si>
    <t>SUPER PLUS 391</t>
  </si>
  <si>
    <t>SUPER PLUS 401</t>
  </si>
  <si>
    <t>697950821621</t>
  </si>
  <si>
    <t>E697950821621</t>
  </si>
  <si>
    <t>697140681025</t>
  </si>
  <si>
    <t>E697140681025</t>
  </si>
  <si>
    <t>697150391769</t>
  </si>
  <si>
    <t>E697150391769</t>
  </si>
  <si>
    <t>697140778533</t>
  </si>
  <si>
    <t>E697140778533</t>
  </si>
  <si>
    <t>697141080939</t>
  </si>
  <si>
    <t>E697141080939</t>
  </si>
  <si>
    <t>697141080921</t>
  </si>
  <si>
    <t>E697141080921</t>
  </si>
  <si>
    <t>697140971571</t>
  </si>
  <si>
    <t>E697140971571</t>
  </si>
  <si>
    <t>697970305891</t>
  </si>
  <si>
    <t>697870300400</t>
  </si>
  <si>
    <t>E697870300400</t>
  </si>
  <si>
    <t>697060125709</t>
  </si>
  <si>
    <t>E697060125709</t>
  </si>
  <si>
    <t>697120594606</t>
  </si>
  <si>
    <t>E697120594606</t>
  </si>
  <si>
    <t>697120891643</t>
  </si>
  <si>
    <t>E697120891643</t>
  </si>
  <si>
    <t>697981231776</t>
  </si>
  <si>
    <t>697990833096</t>
  </si>
  <si>
    <t>E697990833096</t>
  </si>
  <si>
    <t>697050310559</t>
  </si>
  <si>
    <t>E697050310559</t>
  </si>
  <si>
    <t>697060331210</t>
  </si>
  <si>
    <t>E697060331210</t>
  </si>
  <si>
    <t>697070451779</t>
  </si>
  <si>
    <t>E697070451779</t>
  </si>
  <si>
    <t>697980231373</t>
  </si>
  <si>
    <t>E697980231373</t>
  </si>
  <si>
    <t>697980131441</t>
  </si>
  <si>
    <t>E697980131441</t>
  </si>
  <si>
    <t>697110390298</t>
  </si>
  <si>
    <t>E697110390298</t>
  </si>
  <si>
    <t>697130480765</t>
  </si>
  <si>
    <t>E697130480765</t>
  </si>
  <si>
    <t>697910900961</t>
  </si>
  <si>
    <t>E697910900961</t>
  </si>
  <si>
    <t>697000104982</t>
  </si>
  <si>
    <t>697010650713</t>
  </si>
  <si>
    <t>E697010650713</t>
  </si>
  <si>
    <t>697040653041</t>
  </si>
  <si>
    <t>E697040653041</t>
  </si>
  <si>
    <t>697000930360</t>
  </si>
  <si>
    <t>697961120978</t>
  </si>
  <si>
    <t>E697961120978</t>
  </si>
  <si>
    <t>697140882144</t>
  </si>
  <si>
    <t>E697140882144</t>
  </si>
  <si>
    <t>697140882136</t>
  </si>
  <si>
    <t>E697140882136</t>
  </si>
  <si>
    <t>697180912526</t>
  </si>
  <si>
    <t>E697180912526</t>
  </si>
  <si>
    <t>697140970167</t>
  </si>
  <si>
    <t>E697140970167</t>
  </si>
  <si>
    <t>697880500300</t>
  </si>
  <si>
    <t>E697880500300</t>
  </si>
  <si>
    <t>697990630772</t>
  </si>
  <si>
    <t>E697990630772</t>
  </si>
  <si>
    <t>697850300322</t>
  </si>
  <si>
    <t>E697850300322</t>
  </si>
  <si>
    <t>697130790942</t>
  </si>
  <si>
    <t>E697130790942</t>
  </si>
  <si>
    <t>697901100561</t>
  </si>
  <si>
    <t>E697901100561</t>
  </si>
  <si>
    <t>697130582118</t>
  </si>
  <si>
    <t>E697130582118</t>
  </si>
  <si>
    <t>697710100561</t>
  </si>
  <si>
    <t>E697710100561</t>
  </si>
  <si>
    <t>697950820366</t>
  </si>
  <si>
    <t>E697950820366</t>
  </si>
  <si>
    <t>697860300738</t>
  </si>
  <si>
    <t>E697860300738</t>
  </si>
  <si>
    <t>697950521121</t>
  </si>
  <si>
    <t>697110690585</t>
  </si>
  <si>
    <t>E697110690585</t>
  </si>
  <si>
    <t>697920305483</t>
  </si>
  <si>
    <t>E697920305483</t>
  </si>
  <si>
    <t>697900600098</t>
  </si>
  <si>
    <t>E697900600098</t>
  </si>
  <si>
    <t>697880100310</t>
  </si>
  <si>
    <t>E697880100310</t>
  </si>
  <si>
    <t>697751100036</t>
  </si>
  <si>
    <t>E697751100036</t>
  </si>
  <si>
    <t>697801200541</t>
  </si>
  <si>
    <t>E697801200541</t>
  </si>
  <si>
    <t>697900800534</t>
  </si>
  <si>
    <t>E697900800534</t>
  </si>
  <si>
    <t>697941120378</t>
  </si>
  <si>
    <t>E697941120378</t>
  </si>
  <si>
    <t>697731000213</t>
  </si>
  <si>
    <t>E697731000213</t>
  </si>
  <si>
    <t>697030531575</t>
  </si>
  <si>
    <t>E697030531575</t>
  </si>
  <si>
    <t>697140881261</t>
  </si>
  <si>
    <t>E697140881261</t>
  </si>
  <si>
    <t>697770111782</t>
  </si>
  <si>
    <t>E697770111782</t>
  </si>
  <si>
    <t>697031034761</t>
  </si>
  <si>
    <t>E697031034761</t>
  </si>
  <si>
    <t>697080993464</t>
  </si>
  <si>
    <t>E697080993464</t>
  </si>
  <si>
    <t>697131092475</t>
  </si>
  <si>
    <t>E697131092475</t>
  </si>
  <si>
    <t>697060931209</t>
  </si>
  <si>
    <t>E697060931209</t>
  </si>
  <si>
    <t>697081291510</t>
  </si>
  <si>
    <t>E697081291510</t>
  </si>
  <si>
    <t>697110397977</t>
  </si>
  <si>
    <t>E697110397977</t>
  </si>
  <si>
    <t>697980931529</t>
  </si>
  <si>
    <t>E697980931529</t>
  </si>
  <si>
    <t>697891000309</t>
  </si>
  <si>
    <t>E697891000309</t>
  </si>
  <si>
    <t>697030830777</t>
  </si>
  <si>
    <t>E697030830777</t>
  </si>
  <si>
    <t>697131285117</t>
  </si>
  <si>
    <t>E697131285117</t>
  </si>
  <si>
    <t>697030132662</t>
  </si>
  <si>
    <t>E697030132662</t>
  </si>
  <si>
    <t>697960421559</t>
  </si>
  <si>
    <t>E697960421559</t>
  </si>
  <si>
    <t>697781100154</t>
  </si>
  <si>
    <t>E697781100154</t>
  </si>
  <si>
    <t>697061234145</t>
  </si>
  <si>
    <t>E697061234145</t>
  </si>
  <si>
    <t>697860500371</t>
  </si>
  <si>
    <t>E697860500371</t>
  </si>
  <si>
    <t>697100399157</t>
  </si>
  <si>
    <t>E697100399157</t>
  </si>
  <si>
    <t>697880800443</t>
  </si>
  <si>
    <t>E697880800443</t>
  </si>
  <si>
    <t>697121293804</t>
  </si>
  <si>
    <t>E697121293804</t>
  </si>
  <si>
    <t>697090398998</t>
  </si>
  <si>
    <t>E697090398998</t>
  </si>
  <si>
    <t>697921204893</t>
  </si>
  <si>
    <t>E697921204893</t>
  </si>
  <si>
    <t>697931104447</t>
  </si>
  <si>
    <t>E697931104447</t>
  </si>
  <si>
    <t>697120590651</t>
  </si>
  <si>
    <t>E697120590651</t>
  </si>
  <si>
    <t>697080231793</t>
  </si>
  <si>
    <t>E697080231793</t>
  </si>
  <si>
    <t>697150293694</t>
  </si>
  <si>
    <t>E697150293694</t>
  </si>
  <si>
    <t>6970912979666</t>
  </si>
  <si>
    <t>E697091297966</t>
  </si>
  <si>
    <t>697011033980</t>
  </si>
  <si>
    <t>E697011033980</t>
  </si>
  <si>
    <t>697060931039</t>
  </si>
  <si>
    <t>E697060931039</t>
  </si>
  <si>
    <t>697130584617</t>
  </si>
  <si>
    <t>E697130584617</t>
  </si>
  <si>
    <t>697980931022</t>
  </si>
  <si>
    <t>E697980931022</t>
  </si>
  <si>
    <t>697130582941</t>
  </si>
  <si>
    <t>E697130582941</t>
  </si>
  <si>
    <t>697120991176</t>
  </si>
  <si>
    <t>E697120991176</t>
  </si>
  <si>
    <t>697061033123</t>
  </si>
  <si>
    <t>E697061033123</t>
  </si>
  <si>
    <t>697141282043</t>
  </si>
  <si>
    <t>E697141282043</t>
  </si>
  <si>
    <t>697180710338</t>
  </si>
  <si>
    <t>E697180710338</t>
  </si>
  <si>
    <t>697940551260</t>
  </si>
  <si>
    <t>E697940551260</t>
  </si>
  <si>
    <t>697070953553</t>
  </si>
  <si>
    <t>E697070953553</t>
  </si>
  <si>
    <t>697020330571</t>
  </si>
  <si>
    <t>E697020330571</t>
  </si>
  <si>
    <t>697771200177</t>
  </si>
  <si>
    <t>697141184971</t>
  </si>
  <si>
    <t>E697141184971</t>
  </si>
  <si>
    <t>697770105634</t>
  </si>
  <si>
    <t>E697770105634</t>
  </si>
  <si>
    <t>697090995121</t>
  </si>
  <si>
    <t>E697090995121</t>
  </si>
  <si>
    <t>696060121502</t>
  </si>
  <si>
    <t>E696060121502</t>
  </si>
  <si>
    <t>699180811129</t>
  </si>
  <si>
    <t>E699180811129</t>
  </si>
  <si>
    <t>697120294572</t>
  </si>
  <si>
    <t>E697120294572</t>
  </si>
  <si>
    <t>697180511831</t>
  </si>
  <si>
    <t>E697180511831</t>
  </si>
  <si>
    <t>697800900248</t>
  </si>
  <si>
    <t>697851001159</t>
  </si>
  <si>
    <t>E697851001159</t>
  </si>
  <si>
    <t>697021054951</t>
  </si>
  <si>
    <t>E697021054951</t>
  </si>
  <si>
    <t>697920304088</t>
  </si>
  <si>
    <t>E697920304088</t>
  </si>
  <si>
    <t>697011151206</t>
  </si>
  <si>
    <t>E697011151206</t>
  </si>
  <si>
    <t>697030833521</t>
  </si>
  <si>
    <t>E697030833521</t>
  </si>
  <si>
    <t>697150690456</t>
  </si>
  <si>
    <t>E697150690456</t>
  </si>
  <si>
    <t>697140580628</t>
  </si>
  <si>
    <t>E697140580628</t>
  </si>
  <si>
    <t>697140974405</t>
  </si>
  <si>
    <t>E697140974405</t>
  </si>
  <si>
    <t>697111291056</t>
  </si>
  <si>
    <t>E697111291056</t>
  </si>
  <si>
    <t>705761102501</t>
  </si>
  <si>
    <t>E705761102501</t>
  </si>
  <si>
    <t>705050710550</t>
  </si>
  <si>
    <t>E705050710550</t>
  </si>
  <si>
    <t>697130583912</t>
  </si>
  <si>
    <t>E697130583912</t>
  </si>
  <si>
    <t>697000103609</t>
  </si>
  <si>
    <t>E697000103609</t>
  </si>
  <si>
    <t>697131183861</t>
  </si>
  <si>
    <t>E697131183861</t>
  </si>
  <si>
    <t>697080892102</t>
  </si>
  <si>
    <t>E697080892102</t>
  </si>
  <si>
    <t>697131282151</t>
  </si>
  <si>
    <t>E697131282151</t>
  </si>
  <si>
    <t>699110691584</t>
  </si>
  <si>
    <t>E699110691584</t>
  </si>
  <si>
    <t>697180710443</t>
  </si>
  <si>
    <t>E697180710443</t>
  </si>
  <si>
    <t>697100590621</t>
  </si>
  <si>
    <t>697840900534</t>
  </si>
  <si>
    <t>E697840900534</t>
  </si>
  <si>
    <t>697040358090</t>
  </si>
  <si>
    <t>E697040358090</t>
  </si>
  <si>
    <t>697920804609</t>
  </si>
  <si>
    <t>E697920804609</t>
  </si>
  <si>
    <t>697180512081</t>
  </si>
  <si>
    <t>6961124800</t>
  </si>
  <si>
    <t>Caja: 011</t>
  </si>
  <si>
    <t>Caja: 031</t>
  </si>
  <si>
    <t>Caja: 051</t>
  </si>
  <si>
    <t>Caja: 191</t>
  </si>
  <si>
    <t>Caja: 231</t>
  </si>
  <si>
    <t>Caja: 281</t>
  </si>
  <si>
    <t>Caja: 361</t>
  </si>
  <si>
    <t>Caja: 391</t>
  </si>
  <si>
    <t>Caja: 401</t>
  </si>
  <si>
    <t>SE GENERO CON $2.5 DE MAS.</t>
  </si>
  <si>
    <t>SE GENERO CON $1 DE MAS.</t>
  </si>
  <si>
    <t>SUGEILY NATEN-HAT AZUARA GARCIA</t>
  </si>
  <si>
    <t>GLADYS BAUTISTA GONZALES</t>
  </si>
  <si>
    <t>12:50:58 p. m.</t>
  </si>
  <si>
    <t>03:20:52 p. m.</t>
  </si>
  <si>
    <t>07:09:25 p. m.</t>
  </si>
  <si>
    <t>09:00:19 p. m.</t>
  </si>
  <si>
    <t>11:42:40 a. m.</t>
  </si>
  <si>
    <t>12:15:38 p. m.</t>
  </si>
  <si>
    <t>11:05:06 a. m.</t>
  </si>
  <si>
    <t>02:26:14 p. m.</t>
  </si>
  <si>
    <t>06:30:01 p. m.</t>
  </si>
  <si>
    <t>11:10:05 a. m.</t>
  </si>
  <si>
    <t>03:02:03 p. m.</t>
  </si>
  <si>
    <t>06:45:18 p. m.</t>
  </si>
  <si>
    <t>08:29:51 p. m.</t>
  </si>
  <si>
    <t>10:21:27 p. m.</t>
  </si>
  <si>
    <t>10:04:36 a. m.</t>
  </si>
  <si>
    <t>07:53:14 p. m.</t>
  </si>
  <si>
    <t>09:54:45 p. m.</t>
  </si>
  <si>
    <t>08:30:09 a. m.</t>
  </si>
  <si>
    <t>01:58:33 p. m.</t>
  </si>
  <si>
    <t>02:28:04 p. m.</t>
  </si>
  <si>
    <t>05:00:59 p. m.</t>
  </si>
  <si>
    <t>05:24:48 p. m.</t>
  </si>
  <si>
    <t>01:19:57 p. m.</t>
  </si>
  <si>
    <t>09:35:44 p. m.</t>
  </si>
  <si>
    <t>09:00:10 a. m.</t>
  </si>
  <si>
    <t>10:34:35 a. m.</t>
  </si>
  <si>
    <t>11:57:10 a. m.</t>
  </si>
  <si>
    <t>02:11:39 p. m.</t>
  </si>
  <si>
    <t>03:10:11 p. m.</t>
  </si>
  <si>
    <t>11:37:01 a. m.</t>
  </si>
  <si>
    <t>11:59:22 a. m.</t>
  </si>
  <si>
    <t>01:49:15 p. m.</t>
  </si>
  <si>
    <t>02:47:14 p. m.</t>
  </si>
  <si>
    <t>06:00:20 a. m.</t>
  </si>
  <si>
    <t>09:13:36 a. m.</t>
  </si>
  <si>
    <t>09:35:29 a. m.</t>
  </si>
  <si>
    <t>10:15:17 a. m.</t>
  </si>
  <si>
    <t>01:33:22 p. m.</t>
  </si>
  <si>
    <t>02:08:42 p. m.</t>
  </si>
  <si>
    <t>02:21:07 p. m.</t>
  </si>
  <si>
    <t>02:24:07 p. m.</t>
  </si>
  <si>
    <t>03:42:27 p. m.</t>
  </si>
  <si>
    <t>02:56:52 p. m.</t>
  </si>
  <si>
    <t>07:25:42 p. m.</t>
  </si>
  <si>
    <t>09:11:07 p. m.</t>
  </si>
  <si>
    <t>07:27:01 a. m.</t>
  </si>
  <si>
    <t>10:18:30 a. m.</t>
  </si>
  <si>
    <t>07:51:27 a. m.</t>
  </si>
  <si>
    <t>08:03:56 a. m.</t>
  </si>
  <si>
    <t>10:37:12 a. m.</t>
  </si>
  <si>
    <t>11:38:35 a. m.</t>
  </si>
  <si>
    <t>11:49:58 a. m.</t>
  </si>
  <si>
    <t>02:37:59 p. m.</t>
  </si>
  <si>
    <t>03:02:06 p. m.</t>
  </si>
  <si>
    <t>03:21:41 p. m.</t>
  </si>
  <si>
    <t>06:28:07 p. m.</t>
  </si>
  <si>
    <t>01:08:10 p. m.</t>
  </si>
  <si>
    <t>02:45:57 p. m.</t>
  </si>
  <si>
    <t>07:08:59 p. m.</t>
  </si>
  <si>
    <t>07:10:29 p. m.</t>
  </si>
  <si>
    <t>07:48:36 p. m.</t>
  </si>
  <si>
    <t>SUPER PLUS 321</t>
  </si>
  <si>
    <t>PAGO IUSA</t>
  </si>
  <si>
    <t>697090498143</t>
  </si>
  <si>
    <t>E697090498143</t>
  </si>
  <si>
    <t>697150194106</t>
  </si>
  <si>
    <t>E697150194106</t>
  </si>
  <si>
    <t>697080452650</t>
  </si>
  <si>
    <t>E697080452650</t>
  </si>
  <si>
    <t>697120491009</t>
  </si>
  <si>
    <t>E697120491009</t>
  </si>
  <si>
    <t>697751000228</t>
  </si>
  <si>
    <t>E697751000228</t>
  </si>
  <si>
    <t>697180810421</t>
  </si>
  <si>
    <t>E697180810421</t>
  </si>
  <si>
    <t>697010852570</t>
  </si>
  <si>
    <t>E697010852570</t>
  </si>
  <si>
    <t>697121092035</t>
  </si>
  <si>
    <t>E697121092035</t>
  </si>
  <si>
    <t>697090597036</t>
  </si>
  <si>
    <t>E697090597036</t>
  </si>
  <si>
    <t>697090498372</t>
  </si>
  <si>
    <t>E697090498372</t>
  </si>
  <si>
    <t>697121092027</t>
  </si>
  <si>
    <t>E697121092027</t>
  </si>
  <si>
    <t>697090695216</t>
  </si>
  <si>
    <t>E697090695216</t>
  </si>
  <si>
    <t>697050113290</t>
  </si>
  <si>
    <t>E697050113290</t>
  </si>
  <si>
    <t>697920602259</t>
  </si>
  <si>
    <t>E697920602259</t>
  </si>
  <si>
    <t>697870200707</t>
  </si>
  <si>
    <t>E697870200707</t>
  </si>
  <si>
    <t>697080451181</t>
  </si>
  <si>
    <t>E697080451181</t>
  </si>
  <si>
    <t>697130381023</t>
  </si>
  <si>
    <t>697810400324</t>
  </si>
  <si>
    <t>E697810400324</t>
  </si>
  <si>
    <t>697740700040</t>
  </si>
  <si>
    <t>E697740700040</t>
  </si>
  <si>
    <t>$44.5, FALTA GENERAR $1</t>
  </si>
  <si>
    <t>E697180512081</t>
  </si>
  <si>
    <t>697060120707</t>
  </si>
  <si>
    <t>E697060120707</t>
  </si>
  <si>
    <t>697100192331</t>
  </si>
  <si>
    <t>E697100192331</t>
  </si>
  <si>
    <t>697090995376</t>
  </si>
  <si>
    <t>697880500563</t>
  </si>
  <si>
    <t>E697880500563</t>
  </si>
  <si>
    <t>697080693151</t>
  </si>
  <si>
    <t>E697080693151</t>
  </si>
  <si>
    <t>697901200824</t>
  </si>
  <si>
    <t>E697901200824</t>
  </si>
  <si>
    <t>697910801440</t>
  </si>
  <si>
    <t>E697910801440</t>
  </si>
  <si>
    <t>697001032136</t>
  </si>
  <si>
    <t>E697001032136</t>
  </si>
  <si>
    <t>697910400631</t>
  </si>
  <si>
    <t>E697910400631</t>
  </si>
  <si>
    <t>697930208141</t>
  </si>
  <si>
    <t>E697930208141</t>
  </si>
  <si>
    <t>697780300419</t>
  </si>
  <si>
    <t>E697780300419</t>
  </si>
  <si>
    <t>697000632369</t>
  </si>
  <si>
    <t>E697000632369</t>
  </si>
  <si>
    <t>697080454539</t>
  </si>
  <si>
    <t>E697080454539</t>
  </si>
  <si>
    <t>697111191868</t>
  </si>
  <si>
    <t>E697111191868</t>
  </si>
  <si>
    <t>697140882357</t>
  </si>
  <si>
    <t>E697140882357</t>
  </si>
  <si>
    <t>697150492638</t>
  </si>
  <si>
    <t>E697150492638</t>
  </si>
  <si>
    <t>697001032586</t>
  </si>
  <si>
    <t>697840700276</t>
  </si>
  <si>
    <t>697030833733</t>
  </si>
  <si>
    <t>696020905250</t>
  </si>
  <si>
    <t>E696020905250</t>
  </si>
  <si>
    <t>696120850584</t>
  </si>
  <si>
    <t>E696120850584</t>
  </si>
  <si>
    <t>697021050432</t>
  </si>
  <si>
    <t>E697021050432</t>
  </si>
  <si>
    <t>697091297508</t>
  </si>
  <si>
    <t>E697091297508</t>
  </si>
  <si>
    <t>697890500120</t>
  </si>
  <si>
    <t>E697890500120</t>
  </si>
  <si>
    <t>697830900757</t>
  </si>
  <si>
    <t>E697830900757</t>
  </si>
  <si>
    <t>697880700147</t>
  </si>
  <si>
    <t>E697880700147</t>
  </si>
  <si>
    <t>697971103354</t>
  </si>
  <si>
    <t>E697971103354</t>
  </si>
  <si>
    <t>697020730308</t>
  </si>
  <si>
    <t>E697020730308</t>
  </si>
  <si>
    <t>697830600346</t>
  </si>
  <si>
    <t>E697830600346</t>
  </si>
  <si>
    <t>697860300142</t>
  </si>
  <si>
    <t>E697860300142</t>
  </si>
  <si>
    <t>697070953316</t>
  </si>
  <si>
    <t>697131092581</t>
  </si>
  <si>
    <t>697150293171</t>
  </si>
  <si>
    <t>E697150293171</t>
  </si>
  <si>
    <t>697130882987</t>
  </si>
  <si>
    <t>E697130882987</t>
  </si>
  <si>
    <t>697141181174</t>
  </si>
  <si>
    <t>E697141181174</t>
  </si>
  <si>
    <t>697901000167</t>
  </si>
  <si>
    <t>697951220567</t>
  </si>
  <si>
    <t>697180811762</t>
  </si>
  <si>
    <t>E697180811762</t>
  </si>
  <si>
    <t>697060120561</t>
  </si>
  <si>
    <t>697740500024</t>
  </si>
  <si>
    <t>697940880468</t>
  </si>
  <si>
    <t>E697940880468</t>
  </si>
  <si>
    <t>697131093005</t>
  </si>
  <si>
    <t>E697131093005</t>
  </si>
  <si>
    <t>696140760794</t>
  </si>
  <si>
    <t>E696140760794</t>
  </si>
  <si>
    <t>CAMBIO DE CONCEPTO A MTCENTER</t>
  </si>
  <si>
    <t>016972011122662208060000019828</t>
  </si>
  <si>
    <t>Caja: 021</t>
  </si>
  <si>
    <t>Caja: 321</t>
  </si>
  <si>
    <t>-1990</t>
  </si>
  <si>
    <t>SE GENERO DE MAS</t>
  </si>
  <si>
    <t>FATIMA CORDERO BARRAGAN</t>
  </si>
  <si>
    <t>12:20:29 a. m.</t>
  </si>
  <si>
    <t>12:15:24 p. m.</t>
  </si>
  <si>
    <t>12:18:25 p. m.</t>
  </si>
  <si>
    <t>12:20:37 p. m.</t>
  </si>
  <si>
    <t>11:40:48 a. m.</t>
  </si>
  <si>
    <t>01:10:59 p. m.</t>
  </si>
  <si>
    <t>09:30:21 p. m.</t>
  </si>
  <si>
    <t>09:30:15 a. m.</t>
  </si>
  <si>
    <t>12:09:39 p. m.</t>
  </si>
  <si>
    <t>03:08:53 p. m.</t>
  </si>
  <si>
    <t>05:49:08 p. m.</t>
  </si>
  <si>
    <t>06:26:54 p. m.</t>
  </si>
  <si>
    <t>06:51:08 p. m.</t>
  </si>
  <si>
    <t>06:52:32 p. m.</t>
  </si>
  <si>
    <t>05:11:25 p. m.</t>
  </si>
  <si>
    <t>08:52:25 a. m.</t>
  </si>
  <si>
    <t>01:29:25 p. m.</t>
  </si>
  <si>
    <t>08:36:24 a. m.</t>
  </si>
  <si>
    <t>08:46:50 a. m.</t>
  </si>
  <si>
    <t>11:42:36 a. m.</t>
  </si>
  <si>
    <t>04:10:44 p. m.</t>
  </si>
  <si>
    <t>10:32:40 a. m.</t>
  </si>
  <si>
    <t>10:34:45 a. m.</t>
  </si>
  <si>
    <t>09:38:10 p. m.</t>
  </si>
  <si>
    <t>12:55:27 a. m.</t>
  </si>
  <si>
    <t>11:34:21 a. m.</t>
  </si>
  <si>
    <t>01:20:22 p. m.</t>
  </si>
  <si>
    <t>09:06:16 a. m.</t>
  </si>
  <si>
    <t>06:59:07 p. m.</t>
  </si>
  <si>
    <t>11:51:50 a. m.</t>
  </si>
  <si>
    <t>02:07:11 p. m.</t>
  </si>
  <si>
    <t>09:27:23 a. m.</t>
  </si>
  <si>
    <t>09:30:36 a. m.</t>
  </si>
  <si>
    <t>09:56:25 a. m.</t>
  </si>
  <si>
    <t>09:58:15 a. m.</t>
  </si>
  <si>
    <t>10:07:34 a. m.</t>
  </si>
  <si>
    <t>01:14:44 p. m.</t>
  </si>
  <si>
    <t>04:01:05 p. m.</t>
  </si>
  <si>
    <t>06:22:02 p. m.</t>
  </si>
  <si>
    <t>08:33:51 a. m.</t>
  </si>
  <si>
    <t>11:13:47 a. m.</t>
  </si>
  <si>
    <t>12:11:35 p. m.</t>
  </si>
  <si>
    <t>12:13:31 p. m.</t>
  </si>
  <si>
    <t>02:44:37 p. m.</t>
  </si>
  <si>
    <t>06:49:16 p. m.</t>
  </si>
  <si>
    <t>08:12:07 p. m.</t>
  </si>
  <si>
    <t>02:53:27 p. m.</t>
  </si>
  <si>
    <t>04:06:36 p. m.</t>
  </si>
  <si>
    <t>09:09:11 p. m.</t>
  </si>
  <si>
    <t>01:12:06 p. m.</t>
  </si>
  <si>
    <t>06:55:06 p. m.</t>
  </si>
  <si>
    <t>12:29:15 p. m.</t>
  </si>
  <si>
    <t>12:37:38 p. m.</t>
  </si>
  <si>
    <t>03:29:12 p. m.</t>
  </si>
  <si>
    <t>07:07:23 p. m.</t>
  </si>
  <si>
    <t>08:21:53 p. m.</t>
  </si>
  <si>
    <t>08:09:04 a. m.</t>
  </si>
  <si>
    <t>06:03:07 p. m.</t>
  </si>
  <si>
    <t>MANAGER</t>
  </si>
  <si>
    <t>697081190560</t>
  </si>
  <si>
    <t>E697081190560</t>
  </si>
  <si>
    <t>697040432001</t>
  </si>
  <si>
    <t>E697040432001</t>
  </si>
  <si>
    <t>697040353110</t>
  </si>
  <si>
    <t>697090998014</t>
  </si>
  <si>
    <t>697100290635</t>
  </si>
  <si>
    <t>E697100290635</t>
  </si>
  <si>
    <t>697950620260</t>
  </si>
  <si>
    <t>697930902099</t>
  </si>
  <si>
    <t>E697930902099</t>
  </si>
  <si>
    <t>697141183100</t>
  </si>
  <si>
    <t>E697141183100</t>
  </si>
  <si>
    <t>697101294308</t>
  </si>
  <si>
    <t>697741100151</t>
  </si>
  <si>
    <t>E697741100151</t>
  </si>
  <si>
    <t>697950820536</t>
  </si>
  <si>
    <t>E697950820536</t>
  </si>
  <si>
    <t>697730800542</t>
  </si>
  <si>
    <t>E697730800542</t>
  </si>
  <si>
    <t>697770104930</t>
  </si>
  <si>
    <t>697811200043</t>
  </si>
  <si>
    <t>E697811200043</t>
  </si>
  <si>
    <t>697130580581</t>
  </si>
  <si>
    <t>E697130580581</t>
  </si>
  <si>
    <t>697070852897</t>
  </si>
  <si>
    <t>E697070852897</t>
  </si>
  <si>
    <t>697080990414</t>
  </si>
  <si>
    <t>E697080990414</t>
  </si>
  <si>
    <t>697150290598</t>
  </si>
  <si>
    <t>697970805576</t>
  </si>
  <si>
    <t>E697970805576</t>
  </si>
  <si>
    <t>697000201368</t>
  </si>
  <si>
    <t>E697000201368</t>
  </si>
  <si>
    <t>697150397295</t>
  </si>
  <si>
    <t>E697150397295</t>
  </si>
  <si>
    <t>697130882065</t>
  </si>
  <si>
    <t>697140974383</t>
  </si>
  <si>
    <t>E697140974383</t>
  </si>
  <si>
    <t>697180510941</t>
  </si>
  <si>
    <t>E697180510941</t>
  </si>
  <si>
    <t>697110494611</t>
  </si>
  <si>
    <t>E697110494611</t>
  </si>
  <si>
    <t>697011155805</t>
  </si>
  <si>
    <t>697050812040</t>
  </si>
  <si>
    <t>E697050812040</t>
  </si>
  <si>
    <t>697991130510</t>
  </si>
  <si>
    <t>E697991130510</t>
  </si>
  <si>
    <t>697080454202</t>
  </si>
  <si>
    <t>E697080454202</t>
  </si>
  <si>
    <t>697770100144</t>
  </si>
  <si>
    <t>697150701041</t>
  </si>
  <si>
    <t>697140880613</t>
  </si>
  <si>
    <t>E697140880613</t>
  </si>
  <si>
    <t>697140973174</t>
  </si>
  <si>
    <t>697090198735</t>
  </si>
  <si>
    <t>697150491933</t>
  </si>
  <si>
    <t>697060123731</t>
  </si>
  <si>
    <t>697140775194</t>
  </si>
  <si>
    <t>697060930954</t>
  </si>
  <si>
    <t>697080454555</t>
  </si>
  <si>
    <t>697100591864</t>
  </si>
  <si>
    <t>696090134404</t>
  </si>
  <si>
    <t>E696090134404</t>
  </si>
  <si>
    <t>696110892769</t>
  </si>
  <si>
    <t>E696110892769</t>
  </si>
  <si>
    <t>696150970398</t>
  </si>
  <si>
    <t>E696150970398</t>
  </si>
  <si>
    <t>697040432036</t>
  </si>
  <si>
    <t>E697040432036</t>
  </si>
  <si>
    <t>697141284755</t>
  </si>
  <si>
    <t>697150291161</t>
  </si>
  <si>
    <t>E697150291161</t>
  </si>
  <si>
    <t>697150991588</t>
  </si>
  <si>
    <t>E697150991588</t>
  </si>
  <si>
    <t>697921006226</t>
  </si>
  <si>
    <t>E697921006226</t>
  </si>
  <si>
    <t>697020630532</t>
  </si>
  <si>
    <t>697070950147</t>
  </si>
  <si>
    <t>E697070950147</t>
  </si>
  <si>
    <t>697130785663</t>
  </si>
  <si>
    <t>E697130785663</t>
  </si>
  <si>
    <t>CAMBIO DE CONCEPTO A CFE IUSA</t>
  </si>
  <si>
    <t>697980631843</t>
  </si>
  <si>
    <t>697150592331</t>
  </si>
  <si>
    <t>697880800940</t>
  </si>
  <si>
    <t>E697880800940</t>
  </si>
  <si>
    <t>697051113552</t>
  </si>
  <si>
    <t>697041153416</t>
  </si>
  <si>
    <t>697040653083</t>
  </si>
  <si>
    <t>697860700191</t>
  </si>
  <si>
    <t>697141082371</t>
  </si>
  <si>
    <t>E697141082371</t>
  </si>
  <si>
    <t>697021253546</t>
  </si>
  <si>
    <t>501277016819</t>
  </si>
  <si>
    <t>501270108084</t>
  </si>
  <si>
    <t>697140281132310722</t>
  </si>
  <si>
    <t>696870800252</t>
  </si>
  <si>
    <t>697090897650</t>
  </si>
  <si>
    <t>-180.5</t>
  </si>
  <si>
    <t>GENERADO</t>
  </si>
  <si>
    <t>PAGO PENDIENTE DE 05/08/2022</t>
  </si>
  <si>
    <t>-1</t>
  </si>
  <si>
    <t>-238.5</t>
  </si>
  <si>
    <t>-148.5</t>
  </si>
  <si>
    <t>SUPER PLUS 351</t>
  </si>
  <si>
    <t>SERVICIOS_05.08.2022</t>
  </si>
  <si>
    <t>COMISIONES_05.08.2022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</si>
</sst>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12"/>
      <color theme="1"/>
      <name val="Tahoma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14" fontId="0" fillId="0" borderId="0" xfId="0" applyNumberFormat="1"/>
    <xf numFmtId="19" fontId="0" fillId="0" borderId="0" xfId="0" applyNumberFormat="1"/>
    <xf numFmtId="0" fontId="0" fillId="0" borderId="0" xfId="0" quotePrefix="1"/>
    <xf numFmtId="164" fontId="0" fillId="0" borderId="0" xfId="0" applyNumberFormat="1"/>
    <xf numFmtId="0" fontId="0" fillId="0" borderId="0" xfId="0" applyFill="1"/>
    <xf numFmtId="0" fontId="4" fillId="0" borderId="5" xfId="0" applyFont="1" applyBorder="1"/>
    <xf numFmtId="14" fontId="4" fillId="0" borderId="5" xfId="0" applyNumberFormat="1" applyFont="1" applyBorder="1"/>
    <xf numFmtId="164" fontId="4" fillId="0" borderId="5" xfId="0" applyNumberFormat="1" applyFont="1" applyBorder="1"/>
    <xf numFmtId="14" fontId="4" fillId="0" borderId="5" xfId="0" applyNumberFormat="1" applyFont="1" applyFill="1" applyBorder="1"/>
    <xf numFmtId="0" fontId="4" fillId="0" borderId="5" xfId="0" applyFont="1" applyFill="1" applyBorder="1"/>
    <xf numFmtId="0" fontId="4" fillId="0" borderId="5" xfId="0" quotePrefix="1" applyFont="1" applyBorder="1"/>
    <xf numFmtId="14" fontId="4" fillId="4" borderId="5" xfId="0" applyNumberFormat="1" applyFont="1" applyFill="1" applyBorder="1"/>
    <xf numFmtId="164" fontId="4" fillId="4" borderId="5" xfId="0" applyNumberFormat="1" applyFont="1" applyFill="1" applyBorder="1"/>
    <xf numFmtId="0" fontId="4" fillId="4" borderId="5" xfId="0" applyFont="1" applyFill="1" applyBorder="1"/>
    <xf numFmtId="0" fontId="4" fillId="4" borderId="5" xfId="0" quotePrefix="1" applyFont="1" applyFill="1" applyBorder="1"/>
    <xf numFmtId="2" fontId="4" fillId="0" borderId="5" xfId="0" applyNumberFormat="1" applyFont="1" applyFill="1" applyBorder="1"/>
    <xf numFmtId="0" fontId="4" fillId="0" borderId="5" xfId="0" applyFont="1" applyBorder="1" applyAlignment="1"/>
    <xf numFmtId="0" fontId="4" fillId="4" borderId="5" xfId="0" applyFont="1" applyFill="1" applyBorder="1" applyAlignment="1"/>
    <xf numFmtId="0" fontId="0" fillId="0" borderId="0" xfId="0" applyAlignment="1"/>
    <xf numFmtId="4" fontId="5" fillId="0" borderId="5" xfId="0" applyNumberFormat="1" applyFont="1" applyBorder="1"/>
    <xf numFmtId="4" fontId="6" fillId="0" borderId="0" xfId="0" applyNumberFormat="1" applyFont="1"/>
    <xf numFmtId="22" fontId="0" fillId="0" borderId="0" xfId="0" applyNumberFormat="1"/>
    <xf numFmtId="22" fontId="0" fillId="4" borderId="0" xfId="0" applyNumberFormat="1" applyFill="1"/>
    <xf numFmtId="22" fontId="0" fillId="3" borderId="0" xfId="0" applyNumberFormat="1" applyFill="1"/>
    <xf numFmtId="22" fontId="0" fillId="5" borderId="0" xfId="0" applyNumberFormat="1" applyFill="1"/>
    <xf numFmtId="14" fontId="4" fillId="6" borderId="5" xfId="0" applyNumberFormat="1" applyFont="1" applyFill="1" applyBorder="1"/>
    <xf numFmtId="164" fontId="4" fillId="6" borderId="5" xfId="0" applyNumberFormat="1" applyFont="1" applyFill="1" applyBorder="1"/>
    <xf numFmtId="0" fontId="4" fillId="6" borderId="5" xfId="0" applyFont="1" applyFill="1" applyBorder="1"/>
    <xf numFmtId="0" fontId="4" fillId="6" borderId="5" xfId="0" quotePrefix="1" applyFont="1" applyFill="1" applyBorder="1"/>
    <xf numFmtId="14" fontId="4" fillId="3" borderId="5" xfId="0" applyNumberFormat="1" applyFont="1" applyFill="1" applyBorder="1"/>
    <xf numFmtId="164" fontId="4" fillId="3" borderId="5" xfId="0" applyNumberFormat="1" applyFont="1" applyFill="1" applyBorder="1"/>
    <xf numFmtId="0" fontId="4" fillId="3" borderId="5" xfId="0" applyFont="1" applyFill="1" applyBorder="1"/>
    <xf numFmtId="0" fontId="4" fillId="3" borderId="5" xfId="0" quotePrefix="1" applyFont="1" applyFill="1" applyBorder="1"/>
    <xf numFmtId="14" fontId="4" fillId="5" borderId="5" xfId="0" applyNumberFormat="1" applyFont="1" applyFill="1" applyBorder="1"/>
    <xf numFmtId="164" fontId="4" fillId="5" borderId="5" xfId="0" applyNumberFormat="1" applyFont="1" applyFill="1" applyBorder="1"/>
    <xf numFmtId="0" fontId="4" fillId="5" borderId="5" xfId="0" applyFont="1" applyFill="1" applyBorder="1"/>
    <xf numFmtId="0" fontId="4" fillId="5" borderId="5" xfId="0" quotePrefix="1" applyFont="1" applyFill="1" applyBorder="1"/>
    <xf numFmtId="0" fontId="4" fillId="6" borderId="5" xfId="0" applyFont="1" applyFill="1" applyBorder="1" applyAlignment="1"/>
    <xf numFmtId="0" fontId="4" fillId="3" borderId="5" xfId="0" applyFont="1" applyFill="1" applyBorder="1" applyAlignment="1"/>
    <xf numFmtId="0" fontId="4" fillId="5" borderId="5" xfId="0" applyFont="1" applyFill="1" applyBorder="1" applyAlignment="1"/>
    <xf numFmtId="1" fontId="0" fillId="0" borderId="0" xfId="0" applyNumberFormat="1"/>
    <xf numFmtId="14" fontId="7" fillId="0" borderId="8" xfId="0" applyNumberFormat="1" applyFont="1" applyBorder="1"/>
    <xf numFmtId="14" fontId="0" fillId="0" borderId="9" xfId="0" applyNumberFormat="1" applyBorder="1"/>
    <xf numFmtId="4" fontId="7" fillId="0" borderId="9" xfId="0" applyNumberFormat="1" applyFont="1" applyBorder="1"/>
    <xf numFmtId="0" fontId="0" fillId="0" borderId="9" xfId="0" applyBorder="1"/>
    <xf numFmtId="0" fontId="0" fillId="0" borderId="10" xfId="0" applyBorder="1"/>
    <xf numFmtId="14" fontId="4" fillId="0" borderId="4" xfId="0" applyNumberFormat="1" applyFont="1" applyBorder="1" applyAlignment="1">
      <alignment horizontal="center"/>
    </xf>
    <xf numFmtId="14" fontId="4" fillId="0" borderId="6" xfId="0" applyNumberFormat="1" applyFont="1" applyBorder="1" applyAlignment="1">
      <alignment horizontal="center"/>
    </xf>
    <xf numFmtId="14" fontId="4" fillId="0" borderId="7" xfId="0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 vertical="top"/>
    </xf>
    <xf numFmtId="14" fontId="5" fillId="0" borderId="4" xfId="0" applyNumberFormat="1" applyFont="1" applyBorder="1"/>
    <xf numFmtId="14" fontId="4" fillId="0" borderId="6" xfId="0" applyNumberFormat="1" applyFont="1" applyBorder="1"/>
    <xf numFmtId="14" fontId="4" fillId="0" borderId="7" xfId="0" applyNumberFormat="1" applyFont="1" applyBorder="1"/>
    <xf numFmtId="14" fontId="6" fillId="0" borderId="0" xfId="0" applyNumberFormat="1" applyFont="1"/>
    <xf numFmtId="14" fontId="0" fillId="0" borderId="0" xfId="0" applyNumberFormat="1"/>
    <xf numFmtId="14" fontId="4" fillId="0" borderId="5" xfId="0" applyNumberFormat="1" applyFont="1" applyFill="1" applyBorder="1"/>
    <xf numFmtId="14" fontId="4" fillId="3" borderId="5" xfId="0" applyNumberFormat="1" applyFont="1" applyFill="1" applyBorder="1" applyAlignment="1">
      <alignment horizontal="center" vertical="center"/>
    </xf>
    <xf numFmtId="14" fontId="4" fillId="5" borderId="5" xfId="0" applyNumberFormat="1" applyFont="1" applyFill="1" applyBorder="1" applyAlignment="1">
      <alignment horizontal="center" vertical="center"/>
    </xf>
    <xf numFmtId="14" fontId="4" fillId="6" borderId="5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H28"/>
  <sheetViews>
    <sheetView workbookViewId="0">
      <selection activeCell="H16" sqref="H16"/>
    </sheetView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44778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4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4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702</v>
      </c>
      <c r="C5" s="4" t="s">
        <v>11</v>
      </c>
      <c r="D5" s="1" t="s">
        <v>1631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692</v>
      </c>
      <c r="D8" s="1" t="s">
        <v>1632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8" x14ac:dyDescent="0.25">
      <c r="D17" s="15"/>
    </row>
    <row r="18" spans="4:8" x14ac:dyDescent="0.25">
      <c r="H18" s="15"/>
    </row>
    <row r="26" spans="4:8" x14ac:dyDescent="0.25">
      <c r="D26" s="15"/>
    </row>
    <row r="28" spans="4:8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2BBF-5B3A-4616-BEBB-5AE3A4906C9B}">
  <sheetPr codeName="Hoja2"/>
  <dimension ref="A1:J5"/>
  <sheetViews>
    <sheetView workbookViewId="0"/>
  </sheetViews>
  <sheetFormatPr baseColWidth="10" defaultRowHeight="15" x14ac:dyDescent="0.25"/>
  <sheetData>
    <row r="1" spans="1:10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H1" t="s">
        <v>700</v>
      </c>
      <c r="I1" t="s">
        <v>699</v>
      </c>
      <c r="J1" t="s">
        <v>701</v>
      </c>
    </row>
    <row r="2" spans="1:10" x14ac:dyDescent="0.25">
      <c r="A2">
        <v>91</v>
      </c>
      <c r="B2" s="17">
        <v>44776</v>
      </c>
      <c r="C2">
        <v>0.70973379629629629</v>
      </c>
      <c r="D2" t="s">
        <v>719</v>
      </c>
      <c r="E2" t="s">
        <v>709</v>
      </c>
      <c r="F2" s="19" t="s">
        <v>1266</v>
      </c>
      <c r="G2">
        <v>-43.5</v>
      </c>
      <c r="H2" t="s">
        <v>1625</v>
      </c>
      <c r="I2">
        <v>1</v>
      </c>
      <c r="J2" s="17">
        <v>44778</v>
      </c>
    </row>
    <row r="3" spans="1:10" x14ac:dyDescent="0.25">
      <c r="A3">
        <v>91</v>
      </c>
      <c r="B3" s="17">
        <v>44776</v>
      </c>
      <c r="C3">
        <v>0.70973379629629629</v>
      </c>
      <c r="D3" t="s">
        <v>719</v>
      </c>
      <c r="E3" t="s">
        <v>709</v>
      </c>
      <c r="F3" s="19" t="s">
        <v>1266</v>
      </c>
      <c r="G3">
        <v>-43.5</v>
      </c>
      <c r="H3" t="s">
        <v>1625</v>
      </c>
      <c r="I3">
        <v>1</v>
      </c>
      <c r="J3" s="17">
        <v>44778</v>
      </c>
    </row>
    <row r="4" spans="1:10" x14ac:dyDescent="0.25">
      <c r="A4">
        <v>91</v>
      </c>
      <c r="B4" s="17">
        <v>44776</v>
      </c>
      <c r="C4">
        <v>0.70973379629629629</v>
      </c>
      <c r="D4" t="s">
        <v>719</v>
      </c>
      <c r="E4" t="s">
        <v>709</v>
      </c>
      <c r="F4" s="19" t="s">
        <v>1266</v>
      </c>
      <c r="G4">
        <v>-43.5</v>
      </c>
      <c r="H4" t="s">
        <v>1625</v>
      </c>
      <c r="I4">
        <v>1</v>
      </c>
      <c r="J4" s="17">
        <v>44778</v>
      </c>
    </row>
    <row r="5" spans="1:10" x14ac:dyDescent="0.25">
      <c r="B5" s="17"/>
      <c r="F5" s="19"/>
      <c r="J5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587-776E-42D4-8EE9-43B71C95D1B8}">
  <sheetPr codeName="Hoja3"/>
  <dimension ref="A1:I25"/>
  <sheetViews>
    <sheetView workbookViewId="0"/>
  </sheetViews>
  <sheetFormatPr baseColWidth="10" defaultRowHeight="15" x14ac:dyDescent="0.25"/>
  <sheetData>
    <row r="1" spans="1:9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I1" t="s">
        <v>699</v>
      </c>
    </row>
    <row r="2" spans="1:9" x14ac:dyDescent="0.25">
      <c r="A2">
        <v>41</v>
      </c>
      <c r="B2" s="17">
        <v>44774</v>
      </c>
      <c r="C2">
        <v>0.74306712962962962</v>
      </c>
      <c r="D2" t="s">
        <v>708</v>
      </c>
      <c r="E2" t="s">
        <v>704</v>
      </c>
      <c r="F2" s="19" t="s">
        <v>1608</v>
      </c>
      <c r="G2">
        <v>-180.5</v>
      </c>
      <c r="H2" t="s">
        <v>1607</v>
      </c>
    </row>
    <row r="3" spans="1:9" x14ac:dyDescent="0.25">
      <c r="A3">
        <v>91</v>
      </c>
      <c r="B3" s="17">
        <v>44774</v>
      </c>
      <c r="C3">
        <v>0.90219907407407407</v>
      </c>
      <c r="D3" t="s">
        <v>720</v>
      </c>
      <c r="E3" t="s">
        <v>709</v>
      </c>
      <c r="F3" s="19" t="s">
        <v>1559</v>
      </c>
      <c r="G3">
        <v>-209</v>
      </c>
      <c r="H3" t="s">
        <v>1277</v>
      </c>
    </row>
    <row r="4" spans="1:9" x14ac:dyDescent="0.25">
      <c r="A4">
        <v>91</v>
      </c>
      <c r="B4" s="17">
        <v>44777</v>
      </c>
      <c r="C4">
        <v>0.90520833333333339</v>
      </c>
      <c r="D4" t="s">
        <v>720</v>
      </c>
      <c r="E4" t="s">
        <v>709</v>
      </c>
      <c r="F4" s="19" t="s">
        <v>1123</v>
      </c>
      <c r="G4">
        <v>-91</v>
      </c>
      <c r="H4" t="s">
        <v>1277</v>
      </c>
    </row>
    <row r="5" spans="1:9" x14ac:dyDescent="0.25">
      <c r="A5">
        <v>111</v>
      </c>
      <c r="B5" s="17">
        <v>44774</v>
      </c>
      <c r="C5">
        <v>0.38232638888888887</v>
      </c>
      <c r="D5" t="s">
        <v>1465</v>
      </c>
      <c r="E5" t="s">
        <v>709</v>
      </c>
      <c r="F5" s="19" t="s">
        <v>1619</v>
      </c>
      <c r="G5">
        <v>-238.5</v>
      </c>
      <c r="H5" t="s">
        <v>1459</v>
      </c>
    </row>
    <row r="6" spans="1:9" x14ac:dyDescent="0.25">
      <c r="A6">
        <v>111</v>
      </c>
      <c r="B6" s="17">
        <v>44774</v>
      </c>
      <c r="C6">
        <v>0.54355324074074074</v>
      </c>
      <c r="D6" t="s">
        <v>723</v>
      </c>
      <c r="E6" t="s">
        <v>709</v>
      </c>
      <c r="F6" s="19" t="s">
        <v>1620</v>
      </c>
      <c r="G6">
        <v>-148.5</v>
      </c>
      <c r="H6" t="s">
        <v>1459</v>
      </c>
    </row>
    <row r="7" spans="1:9" x14ac:dyDescent="0.25">
      <c r="A7">
        <v>131</v>
      </c>
      <c r="B7" s="17">
        <v>44777</v>
      </c>
      <c r="C7">
        <v>0.54331018518518526</v>
      </c>
      <c r="D7" t="s">
        <v>726</v>
      </c>
      <c r="E7" t="s">
        <v>709</v>
      </c>
      <c r="F7" s="19" t="s">
        <v>1195</v>
      </c>
      <c r="G7">
        <v>-711.5</v>
      </c>
      <c r="H7" t="s">
        <v>1278</v>
      </c>
    </row>
    <row r="8" spans="1:9" x14ac:dyDescent="0.25">
      <c r="A8">
        <v>191</v>
      </c>
      <c r="B8" s="17">
        <v>44777</v>
      </c>
      <c r="C8">
        <v>0.91778935185185195</v>
      </c>
      <c r="D8" t="s">
        <v>731</v>
      </c>
      <c r="E8" t="s">
        <v>712</v>
      </c>
      <c r="F8" s="19" t="s">
        <v>1255</v>
      </c>
      <c r="G8">
        <v>-60</v>
      </c>
      <c r="H8" t="s">
        <v>1277</v>
      </c>
    </row>
    <row r="9" spans="1:9" x14ac:dyDescent="0.25">
      <c r="A9">
        <v>261</v>
      </c>
      <c r="B9" s="17">
        <v>44776</v>
      </c>
      <c r="C9">
        <v>0.81718750000000007</v>
      </c>
      <c r="D9" t="s">
        <v>735</v>
      </c>
      <c r="E9" t="s">
        <v>709</v>
      </c>
      <c r="F9" s="19" t="s">
        <v>1460</v>
      </c>
      <c r="G9">
        <v>-1990</v>
      </c>
      <c r="H9" t="s">
        <v>1459</v>
      </c>
    </row>
    <row r="10" spans="1:9" x14ac:dyDescent="0.25">
      <c r="A10">
        <v>41</v>
      </c>
      <c r="B10" s="17">
        <v>44774</v>
      </c>
      <c r="C10">
        <v>0.74306712962962962</v>
      </c>
      <c r="D10" t="s">
        <v>708</v>
      </c>
      <c r="E10" t="s">
        <v>704</v>
      </c>
      <c r="F10" s="19" t="s">
        <v>1608</v>
      </c>
      <c r="G10">
        <v>-180.5</v>
      </c>
      <c r="H10" t="s">
        <v>1607</v>
      </c>
    </row>
    <row r="11" spans="1:9" x14ac:dyDescent="0.25">
      <c r="A11">
        <v>91</v>
      </c>
      <c r="B11" s="17">
        <v>44774</v>
      </c>
      <c r="C11">
        <v>0.90219907407407407</v>
      </c>
      <c r="D11" t="s">
        <v>720</v>
      </c>
      <c r="E11" t="s">
        <v>709</v>
      </c>
      <c r="F11" s="19" t="s">
        <v>1559</v>
      </c>
      <c r="G11">
        <v>-209</v>
      </c>
      <c r="H11" t="s">
        <v>1277</v>
      </c>
    </row>
    <row r="12" spans="1:9" x14ac:dyDescent="0.25">
      <c r="A12">
        <v>91</v>
      </c>
      <c r="B12" s="17">
        <v>44777</v>
      </c>
      <c r="C12">
        <v>0.90520833333333339</v>
      </c>
      <c r="D12" t="s">
        <v>720</v>
      </c>
      <c r="E12" t="s">
        <v>709</v>
      </c>
      <c r="F12" s="19" t="s">
        <v>1123</v>
      </c>
      <c r="G12">
        <v>-91</v>
      </c>
      <c r="H12" t="s">
        <v>1277</v>
      </c>
    </row>
    <row r="13" spans="1:9" x14ac:dyDescent="0.25">
      <c r="A13">
        <v>111</v>
      </c>
      <c r="B13" s="17">
        <v>44774</v>
      </c>
      <c r="C13">
        <v>0.38232638888888887</v>
      </c>
      <c r="D13" t="s">
        <v>1465</v>
      </c>
      <c r="E13" t="s">
        <v>709</v>
      </c>
      <c r="F13" s="19" t="s">
        <v>1619</v>
      </c>
      <c r="G13">
        <v>-238.5</v>
      </c>
      <c r="H13" t="s">
        <v>1459</v>
      </c>
    </row>
    <row r="14" spans="1:9" x14ac:dyDescent="0.25">
      <c r="A14">
        <v>111</v>
      </c>
      <c r="B14" s="17">
        <v>44774</v>
      </c>
      <c r="C14">
        <v>0.54355324074074074</v>
      </c>
      <c r="D14" t="s">
        <v>723</v>
      </c>
      <c r="E14" t="s">
        <v>709</v>
      </c>
      <c r="F14" s="19" t="s">
        <v>1620</v>
      </c>
      <c r="G14">
        <v>-148.5</v>
      </c>
      <c r="H14" t="s">
        <v>1459</v>
      </c>
    </row>
    <row r="15" spans="1:9" x14ac:dyDescent="0.25">
      <c r="A15">
        <v>131</v>
      </c>
      <c r="B15" s="17">
        <v>44777</v>
      </c>
      <c r="C15">
        <v>0.54331018518518526</v>
      </c>
      <c r="D15" t="s">
        <v>726</v>
      </c>
      <c r="E15" t="s">
        <v>709</v>
      </c>
      <c r="F15" s="19" t="s">
        <v>1195</v>
      </c>
      <c r="G15">
        <v>-711.5</v>
      </c>
      <c r="H15" t="s">
        <v>1278</v>
      </c>
    </row>
    <row r="16" spans="1:9" x14ac:dyDescent="0.25">
      <c r="A16">
        <v>191</v>
      </c>
      <c r="B16" s="17">
        <v>44777</v>
      </c>
      <c r="C16">
        <v>0.91778935185185195</v>
      </c>
      <c r="D16" t="s">
        <v>731</v>
      </c>
      <c r="E16" t="s">
        <v>712</v>
      </c>
      <c r="F16" s="19" t="s">
        <v>1255</v>
      </c>
      <c r="G16">
        <v>-60</v>
      </c>
      <c r="H16" t="s">
        <v>1277</v>
      </c>
    </row>
    <row r="17" spans="1:8" x14ac:dyDescent="0.25">
      <c r="A17">
        <v>261</v>
      </c>
      <c r="B17" s="17">
        <v>44776</v>
      </c>
      <c r="C17">
        <v>0.81718750000000007</v>
      </c>
      <c r="D17" t="s">
        <v>735</v>
      </c>
      <c r="E17" t="s">
        <v>709</v>
      </c>
      <c r="F17" s="19" t="s">
        <v>1460</v>
      </c>
      <c r="G17">
        <v>-1990</v>
      </c>
      <c r="H17" t="s">
        <v>1459</v>
      </c>
    </row>
    <row r="18" spans="1:8" x14ac:dyDescent="0.25">
      <c r="A18">
        <v>41</v>
      </c>
      <c r="B18" s="17">
        <v>44774</v>
      </c>
      <c r="C18">
        <v>0.74306712962962962</v>
      </c>
      <c r="D18" t="s">
        <v>708</v>
      </c>
      <c r="E18" t="s">
        <v>704</v>
      </c>
      <c r="F18" s="19" t="s">
        <v>1608</v>
      </c>
      <c r="G18">
        <v>-180.5</v>
      </c>
      <c r="H18" t="s">
        <v>1607</v>
      </c>
    </row>
    <row r="19" spans="1:8" x14ac:dyDescent="0.25">
      <c r="A19">
        <v>91</v>
      </c>
      <c r="B19" s="17">
        <v>44774</v>
      </c>
      <c r="C19">
        <v>0.90219907407407407</v>
      </c>
      <c r="D19" t="s">
        <v>720</v>
      </c>
      <c r="E19" t="s">
        <v>709</v>
      </c>
      <c r="F19" s="19" t="s">
        <v>1559</v>
      </c>
      <c r="G19">
        <v>-209</v>
      </c>
      <c r="H19" t="s">
        <v>1277</v>
      </c>
    </row>
    <row r="20" spans="1:8" x14ac:dyDescent="0.25">
      <c r="A20">
        <v>91</v>
      </c>
      <c r="B20" s="17">
        <v>44777</v>
      </c>
      <c r="C20">
        <v>0.90520833333333339</v>
      </c>
      <c r="D20" t="s">
        <v>720</v>
      </c>
      <c r="E20" t="s">
        <v>709</v>
      </c>
      <c r="F20" s="19" t="s">
        <v>1123</v>
      </c>
      <c r="G20">
        <v>-91</v>
      </c>
      <c r="H20" t="s">
        <v>1277</v>
      </c>
    </row>
    <row r="21" spans="1:8" x14ac:dyDescent="0.25">
      <c r="A21">
        <v>111</v>
      </c>
      <c r="B21" s="17">
        <v>44774</v>
      </c>
      <c r="C21">
        <v>0.38232638888888887</v>
      </c>
      <c r="D21" t="s">
        <v>1465</v>
      </c>
      <c r="E21" t="s">
        <v>709</v>
      </c>
      <c r="F21" s="19" t="s">
        <v>1619</v>
      </c>
      <c r="G21">
        <v>-238.5</v>
      </c>
      <c r="H21" t="s">
        <v>1459</v>
      </c>
    </row>
    <row r="22" spans="1:8" x14ac:dyDescent="0.25">
      <c r="A22">
        <v>111</v>
      </c>
      <c r="B22" s="17">
        <v>44774</v>
      </c>
      <c r="C22">
        <v>0.54355324074074074</v>
      </c>
      <c r="D22" t="s">
        <v>723</v>
      </c>
      <c r="E22" t="s">
        <v>709</v>
      </c>
      <c r="F22" s="19" t="s">
        <v>1620</v>
      </c>
      <c r="G22">
        <v>-148.5</v>
      </c>
      <c r="H22" t="s">
        <v>1459</v>
      </c>
    </row>
    <row r="23" spans="1:8" x14ac:dyDescent="0.25">
      <c r="A23">
        <v>131</v>
      </c>
      <c r="B23" s="17">
        <v>44777</v>
      </c>
      <c r="C23">
        <v>0.54331018518518526</v>
      </c>
      <c r="D23" t="s">
        <v>726</v>
      </c>
      <c r="E23" t="s">
        <v>709</v>
      </c>
      <c r="F23" s="19" t="s">
        <v>1195</v>
      </c>
      <c r="G23">
        <v>-711.5</v>
      </c>
      <c r="H23" t="s">
        <v>1278</v>
      </c>
    </row>
    <row r="24" spans="1:8" x14ac:dyDescent="0.25">
      <c r="A24">
        <v>191</v>
      </c>
      <c r="B24" s="17">
        <v>44777</v>
      </c>
      <c r="C24">
        <v>0.91778935185185195</v>
      </c>
      <c r="D24" t="s">
        <v>731</v>
      </c>
      <c r="E24" t="s">
        <v>712</v>
      </c>
      <c r="F24" s="19" t="s">
        <v>1255</v>
      </c>
      <c r="G24">
        <v>-60</v>
      </c>
      <c r="H24" t="s">
        <v>1277</v>
      </c>
    </row>
    <row r="25" spans="1:8" x14ac:dyDescent="0.25">
      <c r="A25">
        <v>261</v>
      </c>
      <c r="B25" s="17">
        <v>44776</v>
      </c>
      <c r="C25">
        <v>0.81718750000000007</v>
      </c>
      <c r="D25" t="s">
        <v>735</v>
      </c>
      <c r="E25" t="s">
        <v>709</v>
      </c>
      <c r="F25" s="19" t="s">
        <v>1460</v>
      </c>
      <c r="G25">
        <v>-1990</v>
      </c>
      <c r="H25" t="s">
        <v>1459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3C518-67CE-4CA4-AB52-4815C24F159F}">
  <sheetPr codeName="Hoja428"/>
  <dimension ref="A3:H14"/>
  <sheetViews>
    <sheetView tabSelected="1" workbookViewId="0">
      <selection activeCell="I13" sqref="I13"/>
    </sheetView>
  </sheetViews>
  <sheetFormatPr baseColWidth="10" defaultRowHeight="15" x14ac:dyDescent="0.25"/>
  <cols>
    <col min="2" max="2" width="14.7109375" bestFit="1" customWidth="1"/>
    <col min="4" max="4" width="13" bestFit="1" customWidth="1"/>
    <col min="5" max="5" width="28.7109375" bestFit="1" customWidth="1"/>
    <col min="7" max="7" width="15.5703125" style="57" bestFit="1" customWidth="1"/>
  </cols>
  <sheetData>
    <row r="3" spans="1:8" x14ac:dyDescent="0.25">
      <c r="A3" t="s">
        <v>1343</v>
      </c>
      <c r="B3" t="s">
        <v>42</v>
      </c>
      <c r="C3" s="17">
        <v>44776</v>
      </c>
      <c r="D3" s="18">
        <v>0.83461805555555557</v>
      </c>
      <c r="E3" t="s">
        <v>877</v>
      </c>
      <c r="F3">
        <v>44.5</v>
      </c>
      <c r="G3" s="57">
        <v>697131093005</v>
      </c>
      <c r="H3" t="s">
        <v>892</v>
      </c>
    </row>
    <row r="4" spans="1:8" x14ac:dyDescent="0.25">
      <c r="A4" t="s">
        <v>1343</v>
      </c>
      <c r="B4" t="s">
        <v>27</v>
      </c>
      <c r="C4" s="17">
        <v>44775</v>
      </c>
      <c r="D4" s="18">
        <v>0.71031250000000001</v>
      </c>
      <c r="E4" t="s">
        <v>877</v>
      </c>
      <c r="F4">
        <v>44.5</v>
      </c>
      <c r="G4" s="57">
        <v>697140180867</v>
      </c>
      <c r="H4" t="s">
        <v>892</v>
      </c>
    </row>
    <row r="5" spans="1:8" x14ac:dyDescent="0.25">
      <c r="A5" t="s">
        <v>1343</v>
      </c>
      <c r="B5" t="s">
        <v>48</v>
      </c>
      <c r="C5" s="17">
        <v>44777</v>
      </c>
      <c r="D5" s="18">
        <v>0.91570601851851852</v>
      </c>
      <c r="E5" t="s">
        <v>877</v>
      </c>
      <c r="F5">
        <v>57.5</v>
      </c>
      <c r="G5" s="57">
        <v>699110691584</v>
      </c>
      <c r="H5" t="s">
        <v>892</v>
      </c>
    </row>
    <row r="6" spans="1:8" x14ac:dyDescent="0.25">
      <c r="A6" t="s">
        <v>1343</v>
      </c>
      <c r="B6" t="s">
        <v>54</v>
      </c>
      <c r="C6" s="17">
        <v>44776</v>
      </c>
      <c r="D6" s="18">
        <v>0.85501157407407413</v>
      </c>
      <c r="E6" t="s">
        <v>877</v>
      </c>
      <c r="F6">
        <v>98.5</v>
      </c>
      <c r="G6" s="57">
        <v>697890500120</v>
      </c>
      <c r="H6" t="s">
        <v>892</v>
      </c>
    </row>
    <row r="7" spans="1:8" x14ac:dyDescent="0.25">
      <c r="A7" t="s">
        <v>1343</v>
      </c>
      <c r="B7" t="s">
        <v>43</v>
      </c>
      <c r="C7" s="17">
        <v>44774</v>
      </c>
      <c r="D7" s="18">
        <v>0.81670138888888888</v>
      </c>
      <c r="E7" t="s">
        <v>877</v>
      </c>
      <c r="F7">
        <v>137.5</v>
      </c>
      <c r="G7" s="57">
        <v>697141082371</v>
      </c>
      <c r="H7" t="s">
        <v>892</v>
      </c>
    </row>
    <row r="9" spans="1:8" x14ac:dyDescent="0.25">
      <c r="A9" t="s">
        <v>1524</v>
      </c>
      <c r="B9" t="s">
        <v>879</v>
      </c>
      <c r="C9" s="17">
        <v>44775</v>
      </c>
      <c r="D9" s="18">
        <v>0.78187499999999999</v>
      </c>
      <c r="E9" t="s">
        <v>710</v>
      </c>
      <c r="H9" t="s">
        <v>1464</v>
      </c>
    </row>
    <row r="10" spans="1:8" x14ac:dyDescent="0.25">
      <c r="A10" t="s">
        <v>1524</v>
      </c>
      <c r="B10" t="s">
        <v>881</v>
      </c>
      <c r="C10" s="17">
        <v>44775</v>
      </c>
      <c r="D10" s="18">
        <v>0.56732638888888887</v>
      </c>
      <c r="E10" t="s">
        <v>716</v>
      </c>
      <c r="H10" t="s">
        <v>1464</v>
      </c>
    </row>
    <row r="11" spans="1:8" x14ac:dyDescent="0.25">
      <c r="A11" t="s">
        <v>1524</v>
      </c>
      <c r="B11" t="s">
        <v>882</v>
      </c>
      <c r="C11" s="17">
        <v>44775</v>
      </c>
      <c r="D11" s="18">
        <v>0.748113425925926</v>
      </c>
      <c r="E11" t="s">
        <v>717</v>
      </c>
      <c r="H11" t="s">
        <v>1464</v>
      </c>
    </row>
    <row r="12" spans="1:8" x14ac:dyDescent="0.25">
      <c r="A12" t="s">
        <v>1524</v>
      </c>
      <c r="B12" t="s">
        <v>885</v>
      </c>
      <c r="C12" s="17">
        <v>44775</v>
      </c>
      <c r="D12" s="18">
        <v>0.64415509259259263</v>
      </c>
      <c r="E12" t="s">
        <v>723</v>
      </c>
      <c r="H12" t="s">
        <v>1464</v>
      </c>
    </row>
    <row r="13" spans="1:8" x14ac:dyDescent="0.25">
      <c r="A13" t="s">
        <v>1524</v>
      </c>
      <c r="B13" t="s">
        <v>1630</v>
      </c>
      <c r="C13" s="17">
        <v>44775</v>
      </c>
      <c r="D13" s="18">
        <v>0.75020833333333325</v>
      </c>
      <c r="E13" t="s">
        <v>740</v>
      </c>
      <c r="H13" t="s">
        <v>1464</v>
      </c>
    </row>
    <row r="14" spans="1:8" x14ac:dyDescent="0.25">
      <c r="A14" t="s">
        <v>1524</v>
      </c>
      <c r="B14" t="s">
        <v>1031</v>
      </c>
      <c r="C14" s="17">
        <v>44775</v>
      </c>
      <c r="D14" s="18">
        <v>0.74821759259259257</v>
      </c>
      <c r="E14" t="s">
        <v>742</v>
      </c>
      <c r="H14" t="s">
        <v>1464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C07F-B5D8-4B75-8AA0-AB11AD2FC13B}">
  <sheetPr codeName="Hoja427"/>
  <dimension ref="A2:F557"/>
  <sheetViews>
    <sheetView topLeftCell="A331" workbookViewId="0">
      <selection activeCell="H12" sqref="H12"/>
    </sheetView>
  </sheetViews>
  <sheetFormatPr baseColWidth="10" defaultRowHeight="15" x14ac:dyDescent="0.25"/>
  <cols>
    <col min="2" max="2" width="14.7109375" bestFit="1" customWidth="1"/>
    <col min="4" max="4" width="13" style="20" bestFit="1" customWidth="1"/>
  </cols>
  <sheetData>
    <row r="2" spans="1:6" x14ac:dyDescent="0.25">
      <c r="A2" t="s">
        <v>876</v>
      </c>
      <c r="B2" t="s">
        <v>38</v>
      </c>
      <c r="C2" s="17">
        <v>44569</v>
      </c>
      <c r="D2" s="20" t="s">
        <v>1466</v>
      </c>
      <c r="E2" t="s">
        <v>877</v>
      </c>
      <c r="F2" t="s">
        <v>754</v>
      </c>
    </row>
    <row r="3" spans="1:6" x14ac:dyDescent="0.25">
      <c r="A3" t="s">
        <v>878</v>
      </c>
      <c r="B3" t="s">
        <v>39</v>
      </c>
      <c r="C3" s="17">
        <v>44569</v>
      </c>
      <c r="D3" s="20">
        <v>1.54513888888889E-2</v>
      </c>
      <c r="E3" t="s">
        <v>722</v>
      </c>
      <c r="F3" t="s">
        <v>754</v>
      </c>
    </row>
    <row r="4" spans="1:6" x14ac:dyDescent="0.25">
      <c r="A4" t="s">
        <v>876</v>
      </c>
      <c r="B4" t="s">
        <v>38</v>
      </c>
      <c r="C4" s="17">
        <v>44569</v>
      </c>
      <c r="D4" s="20" t="s">
        <v>1467</v>
      </c>
      <c r="E4" t="s">
        <v>877</v>
      </c>
      <c r="F4" t="s">
        <v>754</v>
      </c>
    </row>
    <row r="5" spans="1:6" x14ac:dyDescent="0.25">
      <c r="A5" t="s">
        <v>878</v>
      </c>
      <c r="B5" t="s">
        <v>39</v>
      </c>
      <c r="C5" s="17">
        <v>44569</v>
      </c>
      <c r="D5" s="20">
        <v>0.51245370370370402</v>
      </c>
      <c r="E5" t="s">
        <v>703</v>
      </c>
      <c r="F5" t="s">
        <v>754</v>
      </c>
    </row>
    <row r="6" spans="1:6" x14ac:dyDescent="0.25">
      <c r="A6" t="s">
        <v>876</v>
      </c>
      <c r="B6" t="s">
        <v>38</v>
      </c>
      <c r="C6" s="17">
        <v>44569</v>
      </c>
      <c r="D6" s="20" t="s">
        <v>1468</v>
      </c>
      <c r="E6" t="s">
        <v>877</v>
      </c>
      <c r="F6" t="s">
        <v>754</v>
      </c>
    </row>
    <row r="7" spans="1:6" x14ac:dyDescent="0.25">
      <c r="A7" t="s">
        <v>878</v>
      </c>
      <c r="B7" t="s">
        <v>39</v>
      </c>
      <c r="C7" s="17">
        <v>44569</v>
      </c>
      <c r="D7" s="20">
        <v>0.51418981481481496</v>
      </c>
      <c r="E7" t="s">
        <v>703</v>
      </c>
      <c r="F7" t="s">
        <v>754</v>
      </c>
    </row>
    <row r="8" spans="1:6" x14ac:dyDescent="0.25">
      <c r="A8" t="s">
        <v>876</v>
      </c>
      <c r="B8" t="s">
        <v>38</v>
      </c>
      <c r="C8" s="17">
        <v>44569</v>
      </c>
      <c r="D8" s="20" t="s">
        <v>1469</v>
      </c>
      <c r="E8" t="s">
        <v>877</v>
      </c>
      <c r="F8" t="s">
        <v>754</v>
      </c>
    </row>
    <row r="9" spans="1:6" x14ac:dyDescent="0.25">
      <c r="A9" t="s">
        <v>878</v>
      </c>
      <c r="B9" t="s">
        <v>39</v>
      </c>
      <c r="C9" s="17">
        <v>44569</v>
      </c>
      <c r="D9" s="20">
        <v>0.515856481481482</v>
      </c>
      <c r="E9" t="s">
        <v>703</v>
      </c>
      <c r="F9" t="s">
        <v>754</v>
      </c>
    </row>
    <row r="10" spans="1:6" x14ac:dyDescent="0.25">
      <c r="A10" t="s">
        <v>876</v>
      </c>
      <c r="B10" t="s">
        <v>38</v>
      </c>
      <c r="C10" s="17">
        <v>44628</v>
      </c>
      <c r="D10" s="20" t="s">
        <v>1281</v>
      </c>
      <c r="E10" t="s">
        <v>877</v>
      </c>
      <c r="F10" t="s">
        <v>754</v>
      </c>
    </row>
    <row r="11" spans="1:6" x14ac:dyDescent="0.25">
      <c r="A11" t="s">
        <v>878</v>
      </c>
      <c r="B11" t="s">
        <v>39</v>
      </c>
      <c r="C11" s="17">
        <v>44628</v>
      </c>
      <c r="D11" s="20">
        <v>0.53689814814814796</v>
      </c>
      <c r="E11" t="s">
        <v>703</v>
      </c>
      <c r="F11" t="s">
        <v>754</v>
      </c>
    </row>
    <row r="12" spans="1:6" x14ac:dyDescent="0.25">
      <c r="A12" t="s">
        <v>876</v>
      </c>
      <c r="B12" t="s">
        <v>38</v>
      </c>
      <c r="C12" s="17">
        <v>44628</v>
      </c>
      <c r="D12" s="20" t="s">
        <v>1282</v>
      </c>
      <c r="E12" t="s">
        <v>877</v>
      </c>
      <c r="F12" t="s">
        <v>754</v>
      </c>
    </row>
    <row r="13" spans="1:6" x14ac:dyDescent="0.25">
      <c r="A13" t="s">
        <v>878</v>
      </c>
      <c r="B13" t="s">
        <v>39</v>
      </c>
      <c r="C13" s="17">
        <v>44628</v>
      </c>
      <c r="D13" s="20">
        <v>0.64040509259259304</v>
      </c>
      <c r="E13" t="s">
        <v>703</v>
      </c>
      <c r="F13" t="s">
        <v>754</v>
      </c>
    </row>
    <row r="14" spans="1:6" x14ac:dyDescent="0.25">
      <c r="A14" t="s">
        <v>876</v>
      </c>
      <c r="B14" t="s">
        <v>38</v>
      </c>
      <c r="C14" s="17">
        <v>44659</v>
      </c>
      <c r="D14" s="20" t="s">
        <v>907</v>
      </c>
      <c r="E14" t="s">
        <v>877</v>
      </c>
      <c r="F14" t="s">
        <v>754</v>
      </c>
    </row>
    <row r="15" spans="1:6" x14ac:dyDescent="0.25">
      <c r="A15" t="s">
        <v>878</v>
      </c>
      <c r="B15" t="s">
        <v>39</v>
      </c>
      <c r="C15" s="17">
        <v>44659</v>
      </c>
      <c r="D15" s="20">
        <v>0.38523148148148101</v>
      </c>
      <c r="E15" t="s">
        <v>703</v>
      </c>
      <c r="F15" t="s">
        <v>754</v>
      </c>
    </row>
    <row r="16" spans="1:6" x14ac:dyDescent="0.25">
      <c r="A16" t="s">
        <v>876</v>
      </c>
      <c r="B16" t="s">
        <v>38</v>
      </c>
      <c r="C16" s="17">
        <v>44659</v>
      </c>
      <c r="D16" s="20" t="s">
        <v>908</v>
      </c>
      <c r="E16" t="s">
        <v>877</v>
      </c>
      <c r="F16" t="s">
        <v>754</v>
      </c>
    </row>
    <row r="17" spans="1:6" x14ac:dyDescent="0.25">
      <c r="A17" t="s">
        <v>878</v>
      </c>
      <c r="B17" t="s">
        <v>39</v>
      </c>
      <c r="C17" s="17">
        <v>44659</v>
      </c>
      <c r="D17" s="20">
        <v>0.73818287037037</v>
      </c>
      <c r="E17" t="s">
        <v>703</v>
      </c>
      <c r="F17" t="s">
        <v>754</v>
      </c>
    </row>
    <row r="18" spans="1:6" x14ac:dyDescent="0.25">
      <c r="A18" t="s">
        <v>876</v>
      </c>
      <c r="B18" t="s">
        <v>38</v>
      </c>
      <c r="C18" s="17">
        <v>44659</v>
      </c>
      <c r="D18" s="20" t="s">
        <v>909</v>
      </c>
      <c r="E18" t="s">
        <v>877</v>
      </c>
      <c r="F18" t="s">
        <v>754</v>
      </c>
    </row>
    <row r="19" spans="1:6" x14ac:dyDescent="0.25">
      <c r="A19" t="s">
        <v>878</v>
      </c>
      <c r="B19" t="s">
        <v>39</v>
      </c>
      <c r="C19" s="17">
        <v>44659</v>
      </c>
      <c r="D19" s="20">
        <v>0.74230324074074105</v>
      </c>
      <c r="E19" t="s">
        <v>703</v>
      </c>
      <c r="F19" t="s">
        <v>754</v>
      </c>
    </row>
    <row r="20" spans="1:6" x14ac:dyDescent="0.25">
      <c r="A20" t="s">
        <v>876</v>
      </c>
      <c r="B20" t="s">
        <v>38</v>
      </c>
      <c r="C20" s="17">
        <v>44659</v>
      </c>
      <c r="D20" s="20" t="s">
        <v>910</v>
      </c>
      <c r="E20" t="s">
        <v>877</v>
      </c>
      <c r="F20" t="s">
        <v>754</v>
      </c>
    </row>
    <row r="21" spans="1:6" x14ac:dyDescent="0.25">
      <c r="A21" t="s">
        <v>878</v>
      </c>
      <c r="B21" t="s">
        <v>39</v>
      </c>
      <c r="C21" s="17">
        <v>44659</v>
      </c>
      <c r="D21" s="20">
        <v>0.92043981481481496</v>
      </c>
      <c r="E21" t="s">
        <v>706</v>
      </c>
      <c r="F21" t="s">
        <v>754</v>
      </c>
    </row>
    <row r="22" spans="1:6" x14ac:dyDescent="0.25">
      <c r="A22" t="s">
        <v>876</v>
      </c>
      <c r="B22" t="s">
        <v>40</v>
      </c>
      <c r="C22" s="17">
        <v>44569</v>
      </c>
      <c r="D22" s="20" t="s">
        <v>1470</v>
      </c>
      <c r="E22" t="s">
        <v>877</v>
      </c>
      <c r="F22" t="s">
        <v>754</v>
      </c>
    </row>
    <row r="23" spans="1:6" x14ac:dyDescent="0.25">
      <c r="A23" t="s">
        <v>878</v>
      </c>
      <c r="B23" t="s">
        <v>50</v>
      </c>
      <c r="C23" s="17">
        <v>44569</v>
      </c>
      <c r="D23" s="20">
        <v>0.48736111111111102</v>
      </c>
      <c r="E23" t="s">
        <v>707</v>
      </c>
      <c r="F23" t="s">
        <v>754</v>
      </c>
    </row>
    <row r="24" spans="1:6" x14ac:dyDescent="0.25">
      <c r="A24" t="s">
        <v>876</v>
      </c>
      <c r="B24" t="s">
        <v>40</v>
      </c>
      <c r="C24" s="17">
        <v>44569</v>
      </c>
      <c r="D24" s="20" t="s">
        <v>1471</v>
      </c>
      <c r="E24" t="s">
        <v>877</v>
      </c>
      <c r="F24" t="s">
        <v>754</v>
      </c>
    </row>
    <row r="25" spans="1:6" x14ac:dyDescent="0.25">
      <c r="A25" t="s">
        <v>878</v>
      </c>
      <c r="B25" t="s">
        <v>50</v>
      </c>
      <c r="C25" s="17">
        <v>44569</v>
      </c>
      <c r="D25" s="20">
        <v>0.54996527777777804</v>
      </c>
      <c r="E25" t="s">
        <v>707</v>
      </c>
      <c r="F25" t="s">
        <v>754</v>
      </c>
    </row>
    <row r="26" spans="1:6" x14ac:dyDescent="0.25">
      <c r="A26" t="s">
        <v>876</v>
      </c>
      <c r="B26" t="s">
        <v>40</v>
      </c>
      <c r="C26" s="17">
        <v>44569</v>
      </c>
      <c r="D26" s="20" t="s">
        <v>1472</v>
      </c>
      <c r="E26" t="s">
        <v>877</v>
      </c>
      <c r="F26" t="s">
        <v>754</v>
      </c>
    </row>
    <row r="27" spans="1:6" x14ac:dyDescent="0.25">
      <c r="A27" t="s">
        <v>878</v>
      </c>
      <c r="B27" t="s">
        <v>50</v>
      </c>
      <c r="C27" s="17">
        <v>44569</v>
      </c>
      <c r="D27" s="20">
        <v>0.89723379629629596</v>
      </c>
      <c r="E27" t="s">
        <v>893</v>
      </c>
      <c r="F27" t="s">
        <v>754</v>
      </c>
    </row>
    <row r="28" spans="1:6" x14ac:dyDescent="0.25">
      <c r="A28" t="s">
        <v>876</v>
      </c>
      <c r="B28" t="s">
        <v>40</v>
      </c>
      <c r="C28" s="17">
        <v>44628</v>
      </c>
      <c r="D28" s="20" t="s">
        <v>1283</v>
      </c>
      <c r="E28" t="s">
        <v>877</v>
      </c>
      <c r="F28" t="s">
        <v>754</v>
      </c>
    </row>
    <row r="29" spans="1:6" x14ac:dyDescent="0.25">
      <c r="A29" t="s">
        <v>878</v>
      </c>
      <c r="B29" t="s">
        <v>50</v>
      </c>
      <c r="C29" s="17">
        <v>44628</v>
      </c>
      <c r="D29" s="20">
        <v>0.79906250000000001</v>
      </c>
      <c r="E29" t="s">
        <v>707</v>
      </c>
      <c r="F29" t="s">
        <v>754</v>
      </c>
    </row>
    <row r="30" spans="1:6" x14ac:dyDescent="0.25">
      <c r="A30" t="s">
        <v>876</v>
      </c>
      <c r="B30" t="s">
        <v>40</v>
      </c>
      <c r="C30" s="17">
        <v>44628</v>
      </c>
      <c r="D30" s="20" t="s">
        <v>1284</v>
      </c>
      <c r="E30" t="s">
        <v>877</v>
      </c>
      <c r="F30" t="s">
        <v>754</v>
      </c>
    </row>
    <row r="31" spans="1:6" x14ac:dyDescent="0.25">
      <c r="A31" t="s">
        <v>878</v>
      </c>
      <c r="B31" t="s">
        <v>50</v>
      </c>
      <c r="C31" s="17">
        <v>44628</v>
      </c>
      <c r="D31" s="20">
        <v>0.87631944444444398</v>
      </c>
      <c r="E31" t="s">
        <v>731</v>
      </c>
      <c r="F31" t="s">
        <v>754</v>
      </c>
    </row>
    <row r="32" spans="1:6" x14ac:dyDescent="0.25">
      <c r="A32" t="s">
        <v>876</v>
      </c>
      <c r="B32" t="s">
        <v>37</v>
      </c>
      <c r="C32" s="17">
        <v>44628</v>
      </c>
      <c r="D32" s="20" t="s">
        <v>1285</v>
      </c>
      <c r="E32" t="s">
        <v>877</v>
      </c>
      <c r="F32" t="s">
        <v>754</v>
      </c>
    </row>
    <row r="33" spans="1:6" x14ac:dyDescent="0.25">
      <c r="A33" t="s">
        <v>878</v>
      </c>
      <c r="B33" t="s">
        <v>59</v>
      </c>
      <c r="C33" s="17">
        <v>44628</v>
      </c>
      <c r="D33" s="20">
        <v>0.49009259259259302</v>
      </c>
      <c r="E33" t="s">
        <v>894</v>
      </c>
      <c r="F33" t="s">
        <v>754</v>
      </c>
    </row>
    <row r="34" spans="1:6" x14ac:dyDescent="0.25">
      <c r="A34" t="s">
        <v>876</v>
      </c>
      <c r="B34" t="s">
        <v>37</v>
      </c>
      <c r="C34" s="17">
        <v>44628</v>
      </c>
      <c r="D34" s="20" t="s">
        <v>1286</v>
      </c>
      <c r="E34" t="s">
        <v>877</v>
      </c>
      <c r="F34" t="s">
        <v>754</v>
      </c>
    </row>
    <row r="35" spans="1:6" x14ac:dyDescent="0.25">
      <c r="A35" t="s">
        <v>878</v>
      </c>
      <c r="B35" t="s">
        <v>59</v>
      </c>
      <c r="C35" s="17">
        <v>44628</v>
      </c>
      <c r="D35" s="20">
        <v>0.51217592592592598</v>
      </c>
      <c r="E35" t="s">
        <v>894</v>
      </c>
      <c r="F35" t="s">
        <v>754</v>
      </c>
    </row>
    <row r="36" spans="1:6" x14ac:dyDescent="0.25">
      <c r="A36" t="s">
        <v>876</v>
      </c>
      <c r="B36" t="s">
        <v>37</v>
      </c>
      <c r="C36" s="17">
        <v>44659</v>
      </c>
      <c r="D36" s="20" t="s">
        <v>911</v>
      </c>
      <c r="E36" t="s">
        <v>877</v>
      </c>
      <c r="F36" t="s">
        <v>754</v>
      </c>
    </row>
    <row r="37" spans="1:6" x14ac:dyDescent="0.25">
      <c r="A37" t="s">
        <v>878</v>
      </c>
      <c r="B37" t="s">
        <v>59</v>
      </c>
      <c r="C37" s="17">
        <v>44659</v>
      </c>
      <c r="D37" s="20">
        <v>0.35752314814814801</v>
      </c>
      <c r="E37" t="s">
        <v>894</v>
      </c>
      <c r="F37" t="s">
        <v>754</v>
      </c>
    </row>
    <row r="38" spans="1:6" x14ac:dyDescent="0.25">
      <c r="A38" t="s">
        <v>876</v>
      </c>
      <c r="B38" t="s">
        <v>37</v>
      </c>
      <c r="C38" s="17">
        <v>44659</v>
      </c>
      <c r="D38" s="20" t="s">
        <v>912</v>
      </c>
      <c r="E38" t="s">
        <v>877</v>
      </c>
      <c r="F38" t="s">
        <v>754</v>
      </c>
    </row>
    <row r="39" spans="1:6" x14ac:dyDescent="0.25">
      <c r="A39" t="s">
        <v>878</v>
      </c>
      <c r="B39" t="s">
        <v>59</v>
      </c>
      <c r="C39" s="17">
        <v>44659</v>
      </c>
      <c r="D39" s="20">
        <v>0.35828703703703701</v>
      </c>
      <c r="E39" t="s">
        <v>894</v>
      </c>
      <c r="F39" t="s">
        <v>754</v>
      </c>
    </row>
    <row r="40" spans="1:6" x14ac:dyDescent="0.25">
      <c r="A40" t="s">
        <v>876</v>
      </c>
      <c r="B40" t="s">
        <v>37</v>
      </c>
      <c r="C40" s="17">
        <v>44659</v>
      </c>
      <c r="D40" s="20" t="s">
        <v>913</v>
      </c>
      <c r="E40" t="s">
        <v>877</v>
      </c>
      <c r="F40" t="s">
        <v>754</v>
      </c>
    </row>
    <row r="41" spans="1:6" x14ac:dyDescent="0.25">
      <c r="A41" t="s">
        <v>878</v>
      </c>
      <c r="B41" t="s">
        <v>59</v>
      </c>
      <c r="C41" s="17">
        <v>44659</v>
      </c>
      <c r="D41" s="20">
        <v>0.35989583333333303</v>
      </c>
      <c r="E41" t="s">
        <v>894</v>
      </c>
      <c r="F41" t="s">
        <v>754</v>
      </c>
    </row>
    <row r="42" spans="1:6" x14ac:dyDescent="0.25">
      <c r="A42" t="s">
        <v>876</v>
      </c>
      <c r="B42" t="s">
        <v>37</v>
      </c>
      <c r="C42" s="17">
        <v>44659</v>
      </c>
      <c r="D42" s="20" t="s">
        <v>914</v>
      </c>
      <c r="E42" t="s">
        <v>877</v>
      </c>
      <c r="F42" t="s">
        <v>754</v>
      </c>
    </row>
    <row r="43" spans="1:6" x14ac:dyDescent="0.25">
      <c r="A43" t="s">
        <v>878</v>
      </c>
      <c r="B43" t="s">
        <v>59</v>
      </c>
      <c r="C43" s="17">
        <v>44659</v>
      </c>
      <c r="D43" s="20">
        <v>0.70202546296296298</v>
      </c>
      <c r="E43" t="s">
        <v>895</v>
      </c>
      <c r="F43" t="s">
        <v>754</v>
      </c>
    </row>
    <row r="44" spans="1:6" x14ac:dyDescent="0.25">
      <c r="A44" t="s">
        <v>876</v>
      </c>
      <c r="B44" t="s">
        <v>30</v>
      </c>
      <c r="C44" s="17">
        <v>44569</v>
      </c>
      <c r="D44" s="20" t="s">
        <v>1473</v>
      </c>
      <c r="E44" t="s">
        <v>877</v>
      </c>
      <c r="F44" t="s">
        <v>754</v>
      </c>
    </row>
    <row r="45" spans="1:6" x14ac:dyDescent="0.25">
      <c r="A45" t="s">
        <v>878</v>
      </c>
      <c r="B45" t="s">
        <v>879</v>
      </c>
      <c r="C45" s="17">
        <v>44569</v>
      </c>
      <c r="D45" s="20">
        <v>0.39664351851851798</v>
      </c>
      <c r="E45" t="s">
        <v>708</v>
      </c>
      <c r="F45" t="s">
        <v>754</v>
      </c>
    </row>
    <row r="46" spans="1:6" x14ac:dyDescent="0.25">
      <c r="A46" t="s">
        <v>876</v>
      </c>
      <c r="B46" t="s">
        <v>30</v>
      </c>
      <c r="C46" s="17">
        <v>44569</v>
      </c>
      <c r="D46" s="20" t="s">
        <v>1474</v>
      </c>
      <c r="E46" t="s">
        <v>877</v>
      </c>
      <c r="F46" t="s">
        <v>754</v>
      </c>
    </row>
    <row r="47" spans="1:6" x14ac:dyDescent="0.25">
      <c r="A47" t="s">
        <v>878</v>
      </c>
      <c r="B47" t="s">
        <v>879</v>
      </c>
      <c r="C47" s="17">
        <v>44569</v>
      </c>
      <c r="D47" s="20">
        <v>0.50739583333333305</v>
      </c>
      <c r="E47" t="s">
        <v>708</v>
      </c>
      <c r="F47" t="s">
        <v>754</v>
      </c>
    </row>
    <row r="48" spans="1:6" x14ac:dyDescent="0.25">
      <c r="A48" t="s">
        <v>876</v>
      </c>
      <c r="B48" t="s">
        <v>30</v>
      </c>
      <c r="C48" s="17">
        <v>44569</v>
      </c>
      <c r="D48" s="20" t="s">
        <v>1475</v>
      </c>
      <c r="E48" t="s">
        <v>877</v>
      </c>
      <c r="F48" t="s">
        <v>754</v>
      </c>
    </row>
    <row r="49" spans="1:6" x14ac:dyDescent="0.25">
      <c r="A49" t="s">
        <v>878</v>
      </c>
      <c r="B49" t="s">
        <v>879</v>
      </c>
      <c r="C49" s="17">
        <v>44569</v>
      </c>
      <c r="D49" s="20">
        <v>0.63237268518518497</v>
      </c>
      <c r="E49" t="s">
        <v>715</v>
      </c>
      <c r="F49" t="s">
        <v>754</v>
      </c>
    </row>
    <row r="50" spans="1:6" x14ac:dyDescent="0.25">
      <c r="A50" t="s">
        <v>876</v>
      </c>
      <c r="B50" t="s">
        <v>30</v>
      </c>
      <c r="C50" s="17">
        <v>44569</v>
      </c>
      <c r="D50" s="20" t="s">
        <v>1476</v>
      </c>
      <c r="E50" t="s">
        <v>877</v>
      </c>
      <c r="F50" t="s">
        <v>754</v>
      </c>
    </row>
    <row r="51" spans="1:6" x14ac:dyDescent="0.25">
      <c r="A51" t="s">
        <v>878</v>
      </c>
      <c r="B51" t="s">
        <v>879</v>
      </c>
      <c r="C51" s="17">
        <v>44569</v>
      </c>
      <c r="D51" s="20">
        <v>0.743113425925926</v>
      </c>
      <c r="E51" t="s">
        <v>708</v>
      </c>
      <c r="F51" t="s">
        <v>754</v>
      </c>
    </row>
    <row r="52" spans="1:6" x14ac:dyDescent="0.25">
      <c r="A52" t="s">
        <v>876</v>
      </c>
      <c r="B52" t="s">
        <v>30</v>
      </c>
      <c r="C52" s="17">
        <v>44569</v>
      </c>
      <c r="D52" s="20" t="s">
        <v>1477</v>
      </c>
      <c r="E52" t="s">
        <v>877</v>
      </c>
      <c r="F52" t="s">
        <v>754</v>
      </c>
    </row>
    <row r="53" spans="1:6" x14ac:dyDescent="0.25">
      <c r="A53" t="s">
        <v>878</v>
      </c>
      <c r="B53" t="s">
        <v>879</v>
      </c>
      <c r="C53" s="17">
        <v>44569</v>
      </c>
      <c r="D53" s="20">
        <v>0.76937500000000003</v>
      </c>
      <c r="E53" t="s">
        <v>708</v>
      </c>
      <c r="F53" t="s">
        <v>754</v>
      </c>
    </row>
    <row r="54" spans="1:6" x14ac:dyDescent="0.25">
      <c r="A54" t="s">
        <v>876</v>
      </c>
      <c r="B54" t="s">
        <v>30</v>
      </c>
      <c r="C54" s="17">
        <v>44569</v>
      </c>
      <c r="D54" s="20" t="s">
        <v>1478</v>
      </c>
      <c r="E54" t="s">
        <v>877</v>
      </c>
      <c r="F54" t="s">
        <v>754</v>
      </c>
    </row>
    <row r="55" spans="1:6" x14ac:dyDescent="0.25">
      <c r="A55" t="s">
        <v>878</v>
      </c>
      <c r="B55" t="s">
        <v>879</v>
      </c>
      <c r="C55" s="17">
        <v>44569</v>
      </c>
      <c r="D55" s="20">
        <v>0.78619212962963003</v>
      </c>
      <c r="E55" t="s">
        <v>708</v>
      </c>
      <c r="F55" t="s">
        <v>754</v>
      </c>
    </row>
    <row r="56" spans="1:6" x14ac:dyDescent="0.25">
      <c r="A56" t="s">
        <v>876</v>
      </c>
      <c r="B56" t="s">
        <v>30</v>
      </c>
      <c r="C56" s="17">
        <v>44569</v>
      </c>
      <c r="D56" s="20" t="s">
        <v>1479</v>
      </c>
      <c r="E56" t="s">
        <v>877</v>
      </c>
      <c r="F56" t="s">
        <v>754</v>
      </c>
    </row>
    <row r="57" spans="1:6" x14ac:dyDescent="0.25">
      <c r="A57" t="s">
        <v>878</v>
      </c>
      <c r="B57" t="s">
        <v>879</v>
      </c>
      <c r="C57" s="17">
        <v>44569</v>
      </c>
      <c r="D57" s="20">
        <v>0.78769675925925897</v>
      </c>
      <c r="E57" t="s">
        <v>708</v>
      </c>
      <c r="F57" t="s">
        <v>754</v>
      </c>
    </row>
    <row r="58" spans="1:6" x14ac:dyDescent="0.25">
      <c r="A58" t="s">
        <v>876</v>
      </c>
      <c r="B58" t="s">
        <v>30</v>
      </c>
      <c r="C58" s="17">
        <v>44600</v>
      </c>
      <c r="D58" s="20" t="s">
        <v>837</v>
      </c>
      <c r="E58" t="s">
        <v>877</v>
      </c>
      <c r="F58" t="s">
        <v>754</v>
      </c>
    </row>
    <row r="59" spans="1:6" x14ac:dyDescent="0.25">
      <c r="A59" t="s">
        <v>878</v>
      </c>
      <c r="B59" t="s">
        <v>879</v>
      </c>
      <c r="C59" s="17">
        <v>44600</v>
      </c>
      <c r="D59" s="20">
        <v>0.38726851851851901</v>
      </c>
      <c r="E59" t="s">
        <v>708</v>
      </c>
      <c r="F59" t="s">
        <v>754</v>
      </c>
    </row>
    <row r="60" spans="1:6" x14ac:dyDescent="0.25">
      <c r="A60" t="s">
        <v>876</v>
      </c>
      <c r="B60" t="s">
        <v>30</v>
      </c>
      <c r="C60" s="17">
        <v>44600</v>
      </c>
      <c r="D60" s="20" t="s">
        <v>838</v>
      </c>
      <c r="E60" t="s">
        <v>877</v>
      </c>
      <c r="F60" t="s">
        <v>754</v>
      </c>
    </row>
    <row r="61" spans="1:6" x14ac:dyDescent="0.25">
      <c r="A61" t="s">
        <v>878</v>
      </c>
      <c r="B61" t="s">
        <v>879</v>
      </c>
      <c r="C61" s="17">
        <v>44600</v>
      </c>
      <c r="D61" s="20">
        <v>0.50879629629629597</v>
      </c>
      <c r="E61" t="s">
        <v>708</v>
      </c>
      <c r="F61" t="s">
        <v>754</v>
      </c>
    </row>
    <row r="62" spans="1:6" x14ac:dyDescent="0.25">
      <c r="A62" t="s">
        <v>876</v>
      </c>
      <c r="B62" t="s">
        <v>30</v>
      </c>
      <c r="C62" s="17">
        <v>44600</v>
      </c>
      <c r="D62" s="20" t="s">
        <v>839</v>
      </c>
      <c r="E62" t="s">
        <v>877</v>
      </c>
      <c r="F62" t="s">
        <v>754</v>
      </c>
    </row>
    <row r="63" spans="1:6" x14ac:dyDescent="0.25">
      <c r="A63" t="s">
        <v>878</v>
      </c>
      <c r="B63" t="s">
        <v>879</v>
      </c>
      <c r="C63" s="17">
        <v>44600</v>
      </c>
      <c r="D63" s="20">
        <v>0.51087962962962996</v>
      </c>
      <c r="E63" t="s">
        <v>708</v>
      </c>
      <c r="F63" t="s">
        <v>754</v>
      </c>
    </row>
    <row r="64" spans="1:6" x14ac:dyDescent="0.25">
      <c r="A64" t="s">
        <v>876</v>
      </c>
      <c r="B64" t="s">
        <v>30</v>
      </c>
      <c r="C64" s="17">
        <v>44600</v>
      </c>
      <c r="D64" s="20" t="s">
        <v>840</v>
      </c>
      <c r="E64" t="s">
        <v>877</v>
      </c>
      <c r="F64" t="s">
        <v>754</v>
      </c>
    </row>
    <row r="65" spans="1:6" x14ac:dyDescent="0.25">
      <c r="A65" t="s">
        <v>878</v>
      </c>
      <c r="B65" t="s">
        <v>879</v>
      </c>
      <c r="C65" s="17">
        <v>44600</v>
      </c>
      <c r="D65" s="20">
        <v>0.57186342592592598</v>
      </c>
      <c r="E65" t="s">
        <v>708</v>
      </c>
      <c r="F65" t="s">
        <v>754</v>
      </c>
    </row>
    <row r="66" spans="1:6" x14ac:dyDescent="0.25">
      <c r="A66" t="s">
        <v>876</v>
      </c>
      <c r="B66" t="s">
        <v>30</v>
      </c>
      <c r="C66" s="17">
        <v>44600</v>
      </c>
      <c r="D66" s="20" t="s">
        <v>841</v>
      </c>
      <c r="E66" t="s">
        <v>877</v>
      </c>
      <c r="F66" t="s">
        <v>754</v>
      </c>
    </row>
    <row r="67" spans="1:6" x14ac:dyDescent="0.25">
      <c r="A67" t="s">
        <v>878</v>
      </c>
      <c r="B67" t="s">
        <v>879</v>
      </c>
      <c r="C67" s="17">
        <v>44600</v>
      </c>
      <c r="D67" s="20">
        <v>0.57357638888888896</v>
      </c>
      <c r="E67" t="s">
        <v>708</v>
      </c>
      <c r="F67" t="s">
        <v>754</v>
      </c>
    </row>
    <row r="68" spans="1:6" x14ac:dyDescent="0.25">
      <c r="A68" t="s">
        <v>876</v>
      </c>
      <c r="B68" t="s">
        <v>30</v>
      </c>
      <c r="C68" s="17">
        <v>44600</v>
      </c>
      <c r="D68" s="20" t="s">
        <v>842</v>
      </c>
      <c r="E68" t="s">
        <v>877</v>
      </c>
      <c r="F68" t="s">
        <v>754</v>
      </c>
    </row>
    <row r="69" spans="1:6" x14ac:dyDescent="0.25">
      <c r="A69" t="s">
        <v>878</v>
      </c>
      <c r="B69" t="s">
        <v>879</v>
      </c>
      <c r="C69" s="17">
        <v>44600</v>
      </c>
      <c r="D69" s="20">
        <v>0.61563657407407402</v>
      </c>
      <c r="E69" t="s">
        <v>708</v>
      </c>
      <c r="F69" t="s">
        <v>754</v>
      </c>
    </row>
    <row r="70" spans="1:6" x14ac:dyDescent="0.25">
      <c r="A70" t="s">
        <v>876</v>
      </c>
      <c r="B70" t="s">
        <v>30</v>
      </c>
      <c r="C70" s="17">
        <v>44600</v>
      </c>
      <c r="D70" s="20" t="s">
        <v>843</v>
      </c>
      <c r="E70" t="s">
        <v>877</v>
      </c>
      <c r="F70" t="s">
        <v>754</v>
      </c>
    </row>
    <row r="71" spans="1:6" x14ac:dyDescent="0.25">
      <c r="A71" t="s">
        <v>878</v>
      </c>
      <c r="B71" t="s">
        <v>879</v>
      </c>
      <c r="C71" s="17">
        <v>44600</v>
      </c>
      <c r="D71" s="20">
        <v>0.75343749999999998</v>
      </c>
      <c r="E71" t="s">
        <v>708</v>
      </c>
      <c r="F71" t="s">
        <v>754</v>
      </c>
    </row>
    <row r="72" spans="1:6" x14ac:dyDescent="0.25">
      <c r="A72" t="s">
        <v>876</v>
      </c>
      <c r="B72" t="s">
        <v>30</v>
      </c>
      <c r="C72" s="17">
        <v>44628</v>
      </c>
      <c r="D72" s="20" t="s">
        <v>1287</v>
      </c>
      <c r="E72" t="s">
        <v>877</v>
      </c>
      <c r="F72" t="s">
        <v>754</v>
      </c>
    </row>
    <row r="73" spans="1:6" x14ac:dyDescent="0.25">
      <c r="A73" t="s">
        <v>878</v>
      </c>
      <c r="B73" t="s">
        <v>879</v>
      </c>
      <c r="C73" s="17">
        <v>44628</v>
      </c>
      <c r="D73" s="20">
        <v>0.46271990740740698</v>
      </c>
      <c r="E73" t="s">
        <v>896</v>
      </c>
      <c r="F73" t="s">
        <v>754</v>
      </c>
    </row>
    <row r="74" spans="1:6" x14ac:dyDescent="0.25">
      <c r="A74" t="s">
        <v>876</v>
      </c>
      <c r="B74" t="s">
        <v>30</v>
      </c>
      <c r="C74" s="17">
        <v>44628</v>
      </c>
      <c r="D74" s="20" t="s">
        <v>1288</v>
      </c>
      <c r="E74" t="s">
        <v>877</v>
      </c>
      <c r="F74" t="s">
        <v>754</v>
      </c>
    </row>
    <row r="75" spans="1:6" x14ac:dyDescent="0.25">
      <c r="A75" t="s">
        <v>878</v>
      </c>
      <c r="B75" t="s">
        <v>879</v>
      </c>
      <c r="C75" s="17">
        <v>44628</v>
      </c>
      <c r="D75" s="20">
        <v>0.60256944444444405</v>
      </c>
      <c r="E75" t="s">
        <v>896</v>
      </c>
      <c r="F75" t="s">
        <v>754</v>
      </c>
    </row>
    <row r="76" spans="1:6" x14ac:dyDescent="0.25">
      <c r="A76" t="s">
        <v>876</v>
      </c>
      <c r="B76" t="s">
        <v>30</v>
      </c>
      <c r="C76" s="17">
        <v>44628</v>
      </c>
      <c r="D76" s="20" t="s">
        <v>1289</v>
      </c>
      <c r="E76" t="s">
        <v>877</v>
      </c>
      <c r="F76" t="s">
        <v>754</v>
      </c>
    </row>
    <row r="77" spans="1:6" x14ac:dyDescent="0.25">
      <c r="A77" t="s">
        <v>878</v>
      </c>
      <c r="B77" t="s">
        <v>879</v>
      </c>
      <c r="C77" s="17">
        <v>44628</v>
      </c>
      <c r="D77" s="20">
        <v>0.77185185185185201</v>
      </c>
      <c r="E77" t="s">
        <v>896</v>
      </c>
      <c r="F77" t="s">
        <v>754</v>
      </c>
    </row>
    <row r="78" spans="1:6" x14ac:dyDescent="0.25">
      <c r="A78" t="s">
        <v>876</v>
      </c>
      <c r="B78" t="s">
        <v>30</v>
      </c>
      <c r="C78" s="17">
        <v>44659</v>
      </c>
      <c r="D78" s="20" t="s">
        <v>915</v>
      </c>
      <c r="E78" t="s">
        <v>877</v>
      </c>
      <c r="F78" t="s">
        <v>754</v>
      </c>
    </row>
    <row r="79" spans="1:6" x14ac:dyDescent="0.25">
      <c r="A79" t="s">
        <v>878</v>
      </c>
      <c r="B79" t="s">
        <v>879</v>
      </c>
      <c r="C79" s="17">
        <v>44659</v>
      </c>
      <c r="D79" s="20">
        <v>0.379270833333333</v>
      </c>
      <c r="E79" t="s">
        <v>708</v>
      </c>
      <c r="F79" t="s">
        <v>754</v>
      </c>
    </row>
    <row r="80" spans="1:6" x14ac:dyDescent="0.25">
      <c r="A80" t="s">
        <v>876</v>
      </c>
      <c r="B80" t="s">
        <v>30</v>
      </c>
      <c r="C80" s="17">
        <v>44659</v>
      </c>
      <c r="D80" s="20" t="s">
        <v>916</v>
      </c>
      <c r="E80" t="s">
        <v>877</v>
      </c>
      <c r="F80" t="s">
        <v>754</v>
      </c>
    </row>
    <row r="81" spans="1:6" x14ac:dyDescent="0.25">
      <c r="A81" t="s">
        <v>878</v>
      </c>
      <c r="B81" t="s">
        <v>879</v>
      </c>
      <c r="C81" s="17">
        <v>44659</v>
      </c>
      <c r="D81" s="20">
        <v>0.379733796296296</v>
      </c>
      <c r="E81" t="s">
        <v>708</v>
      </c>
      <c r="F81" t="s">
        <v>754</v>
      </c>
    </row>
    <row r="82" spans="1:6" x14ac:dyDescent="0.25">
      <c r="A82" t="s">
        <v>876</v>
      </c>
      <c r="B82" t="s">
        <v>29</v>
      </c>
      <c r="C82" s="17">
        <v>44628</v>
      </c>
      <c r="D82" s="20" t="s">
        <v>1290</v>
      </c>
      <c r="E82" t="s">
        <v>877</v>
      </c>
      <c r="F82" t="s">
        <v>754</v>
      </c>
    </row>
    <row r="83" spans="1:6" x14ac:dyDescent="0.25">
      <c r="A83" t="s">
        <v>878</v>
      </c>
      <c r="B83" t="s">
        <v>1026</v>
      </c>
      <c r="C83" s="17">
        <v>44628</v>
      </c>
      <c r="D83" s="20">
        <v>0.46607638888888903</v>
      </c>
      <c r="E83" t="s">
        <v>897</v>
      </c>
      <c r="F83" t="s">
        <v>754</v>
      </c>
    </row>
    <row r="84" spans="1:6" x14ac:dyDescent="0.25">
      <c r="A84" t="s">
        <v>876</v>
      </c>
      <c r="B84" t="s">
        <v>29</v>
      </c>
      <c r="C84" s="17">
        <v>44628</v>
      </c>
      <c r="D84" s="20" t="s">
        <v>1291</v>
      </c>
      <c r="E84" t="s">
        <v>877</v>
      </c>
      <c r="F84" t="s">
        <v>754</v>
      </c>
    </row>
    <row r="85" spans="1:6" x14ac:dyDescent="0.25">
      <c r="A85" t="s">
        <v>878</v>
      </c>
      <c r="B85" t="s">
        <v>1026</v>
      </c>
      <c r="C85" s="17">
        <v>44628</v>
      </c>
      <c r="D85" s="20">
        <v>0.62706018518518503</v>
      </c>
      <c r="E85" t="s">
        <v>897</v>
      </c>
      <c r="F85" t="s">
        <v>754</v>
      </c>
    </row>
    <row r="86" spans="1:6" x14ac:dyDescent="0.25">
      <c r="A86" t="s">
        <v>876</v>
      </c>
      <c r="B86" t="s">
        <v>29</v>
      </c>
      <c r="C86" s="17">
        <v>44659</v>
      </c>
      <c r="D86" s="20" t="s">
        <v>917</v>
      </c>
      <c r="E86" t="s">
        <v>877</v>
      </c>
      <c r="F86" t="s">
        <v>754</v>
      </c>
    </row>
    <row r="87" spans="1:6" x14ac:dyDescent="0.25">
      <c r="A87" t="s">
        <v>878</v>
      </c>
      <c r="B87" t="s">
        <v>1026</v>
      </c>
      <c r="C87" s="17">
        <v>44659</v>
      </c>
      <c r="D87" s="20">
        <v>0.59560185185185199</v>
      </c>
      <c r="E87" t="s">
        <v>711</v>
      </c>
      <c r="F87" t="s">
        <v>754</v>
      </c>
    </row>
    <row r="88" spans="1:6" x14ac:dyDescent="0.25">
      <c r="A88" t="s">
        <v>876</v>
      </c>
      <c r="B88" t="s">
        <v>29</v>
      </c>
      <c r="C88" s="17">
        <v>44659</v>
      </c>
      <c r="D88" s="20" t="s">
        <v>918</v>
      </c>
      <c r="E88" t="s">
        <v>877</v>
      </c>
      <c r="F88" t="s">
        <v>754</v>
      </c>
    </row>
    <row r="89" spans="1:6" x14ac:dyDescent="0.25">
      <c r="A89" t="s">
        <v>878</v>
      </c>
      <c r="B89" t="s">
        <v>1026</v>
      </c>
      <c r="C89" s="17">
        <v>44659</v>
      </c>
      <c r="D89" s="20">
        <v>0.747418981481481</v>
      </c>
      <c r="E89" t="s">
        <v>897</v>
      </c>
      <c r="F89" t="s">
        <v>754</v>
      </c>
    </row>
    <row r="90" spans="1:6" x14ac:dyDescent="0.25">
      <c r="A90" t="s">
        <v>876</v>
      </c>
      <c r="B90" t="s">
        <v>29</v>
      </c>
      <c r="C90" s="17">
        <v>44659</v>
      </c>
      <c r="D90" s="20" t="s">
        <v>919</v>
      </c>
      <c r="E90" t="s">
        <v>877</v>
      </c>
      <c r="F90" t="s">
        <v>754</v>
      </c>
    </row>
    <row r="91" spans="1:6" x14ac:dyDescent="0.25">
      <c r="A91" t="s">
        <v>878</v>
      </c>
      <c r="B91" t="s">
        <v>1026</v>
      </c>
      <c r="C91" s="17">
        <v>44659</v>
      </c>
      <c r="D91" s="20">
        <v>0.75810185185185197</v>
      </c>
      <c r="E91" t="s">
        <v>897</v>
      </c>
      <c r="F91" t="s">
        <v>754</v>
      </c>
    </row>
    <row r="92" spans="1:6" x14ac:dyDescent="0.25">
      <c r="A92" t="s">
        <v>876</v>
      </c>
      <c r="B92" t="s">
        <v>29</v>
      </c>
      <c r="C92" s="17">
        <v>44659</v>
      </c>
      <c r="D92" s="20" t="s">
        <v>920</v>
      </c>
      <c r="E92" t="s">
        <v>877</v>
      </c>
      <c r="F92" t="s">
        <v>754</v>
      </c>
    </row>
    <row r="93" spans="1:6" x14ac:dyDescent="0.25">
      <c r="A93" t="s">
        <v>878</v>
      </c>
      <c r="B93" t="s">
        <v>1026</v>
      </c>
      <c r="C93" s="17">
        <v>44659</v>
      </c>
      <c r="D93" s="20">
        <v>0.76929398148148198</v>
      </c>
      <c r="E93" t="s">
        <v>897</v>
      </c>
      <c r="F93" t="s">
        <v>754</v>
      </c>
    </row>
    <row r="94" spans="1:6" x14ac:dyDescent="0.25">
      <c r="A94" t="s">
        <v>876</v>
      </c>
      <c r="B94" t="s">
        <v>29</v>
      </c>
      <c r="C94" s="17">
        <v>44659</v>
      </c>
      <c r="D94" s="20" t="s">
        <v>921</v>
      </c>
      <c r="E94" t="s">
        <v>877</v>
      </c>
      <c r="F94" t="s">
        <v>754</v>
      </c>
    </row>
    <row r="95" spans="1:6" x14ac:dyDescent="0.25">
      <c r="A95" t="s">
        <v>878</v>
      </c>
      <c r="B95" t="s">
        <v>1026</v>
      </c>
      <c r="C95" s="17">
        <v>44659</v>
      </c>
      <c r="D95" s="20">
        <v>0.83199074074074097</v>
      </c>
      <c r="E95" t="s">
        <v>897</v>
      </c>
      <c r="F95" t="s">
        <v>754</v>
      </c>
    </row>
    <row r="96" spans="1:6" x14ac:dyDescent="0.25">
      <c r="A96" t="s">
        <v>876</v>
      </c>
      <c r="B96" t="s">
        <v>29</v>
      </c>
      <c r="C96" s="17">
        <v>44659</v>
      </c>
      <c r="D96" s="20" t="s">
        <v>922</v>
      </c>
      <c r="E96" t="s">
        <v>877</v>
      </c>
      <c r="F96" t="s">
        <v>754</v>
      </c>
    </row>
    <row r="97" spans="1:6" x14ac:dyDescent="0.25">
      <c r="A97" t="s">
        <v>878</v>
      </c>
      <c r="B97" t="s">
        <v>1026</v>
      </c>
      <c r="C97" s="17">
        <v>44659</v>
      </c>
      <c r="D97" s="20">
        <v>0.83542824074074096</v>
      </c>
      <c r="E97" t="s">
        <v>897</v>
      </c>
      <c r="F97" t="s">
        <v>754</v>
      </c>
    </row>
    <row r="98" spans="1:6" x14ac:dyDescent="0.25">
      <c r="A98" t="s">
        <v>876</v>
      </c>
      <c r="B98" t="s">
        <v>29</v>
      </c>
      <c r="C98" s="17">
        <v>44659</v>
      </c>
      <c r="D98" s="20" t="s">
        <v>923</v>
      </c>
      <c r="E98" t="s">
        <v>877</v>
      </c>
      <c r="F98" t="s">
        <v>754</v>
      </c>
    </row>
    <row r="99" spans="1:6" x14ac:dyDescent="0.25">
      <c r="A99" t="s">
        <v>878</v>
      </c>
      <c r="B99" t="s">
        <v>1026</v>
      </c>
      <c r="C99" s="17">
        <v>44659</v>
      </c>
      <c r="D99" s="20">
        <v>0.87696759259259205</v>
      </c>
      <c r="E99" t="s">
        <v>897</v>
      </c>
      <c r="F99" t="s">
        <v>754</v>
      </c>
    </row>
    <row r="100" spans="1:6" x14ac:dyDescent="0.25">
      <c r="A100" t="s">
        <v>876</v>
      </c>
      <c r="B100" t="s">
        <v>29</v>
      </c>
      <c r="C100" s="17">
        <v>44659</v>
      </c>
      <c r="D100" s="20" t="s">
        <v>924</v>
      </c>
      <c r="E100" t="s">
        <v>877</v>
      </c>
      <c r="F100" t="s">
        <v>754</v>
      </c>
    </row>
    <row r="101" spans="1:6" x14ac:dyDescent="0.25">
      <c r="A101" t="s">
        <v>878</v>
      </c>
      <c r="B101" t="s">
        <v>1026</v>
      </c>
      <c r="C101" s="17">
        <v>44659</v>
      </c>
      <c r="D101" s="20">
        <v>0.895625</v>
      </c>
      <c r="E101" t="s">
        <v>722</v>
      </c>
      <c r="F101" t="s">
        <v>754</v>
      </c>
    </row>
    <row r="102" spans="1:6" x14ac:dyDescent="0.25">
      <c r="A102" t="s">
        <v>876</v>
      </c>
      <c r="B102" t="s">
        <v>31</v>
      </c>
      <c r="C102" s="17">
        <v>44569</v>
      </c>
      <c r="D102" s="20" t="s">
        <v>1480</v>
      </c>
      <c r="E102" t="s">
        <v>877</v>
      </c>
      <c r="F102" t="s">
        <v>754</v>
      </c>
    </row>
    <row r="103" spans="1:6" x14ac:dyDescent="0.25">
      <c r="A103" t="s">
        <v>878</v>
      </c>
      <c r="B103" t="s">
        <v>880</v>
      </c>
      <c r="C103" s="17">
        <v>44569</v>
      </c>
      <c r="D103" s="20">
        <v>0.71689814814814801</v>
      </c>
      <c r="E103" t="s">
        <v>714</v>
      </c>
      <c r="F103" t="s">
        <v>754</v>
      </c>
    </row>
    <row r="104" spans="1:6" x14ac:dyDescent="0.25">
      <c r="A104" t="s">
        <v>876</v>
      </c>
      <c r="B104" t="s">
        <v>31</v>
      </c>
      <c r="C104" s="17">
        <v>44600</v>
      </c>
      <c r="D104" s="20" t="s">
        <v>844</v>
      </c>
      <c r="E104" t="s">
        <v>877</v>
      </c>
      <c r="F104" t="s">
        <v>754</v>
      </c>
    </row>
    <row r="105" spans="1:6" x14ac:dyDescent="0.25">
      <c r="A105" t="s">
        <v>878</v>
      </c>
      <c r="B105" t="s">
        <v>880</v>
      </c>
      <c r="C105" s="17">
        <v>44600</v>
      </c>
      <c r="D105" s="20">
        <v>0.66387731481481504</v>
      </c>
      <c r="E105" t="s">
        <v>714</v>
      </c>
      <c r="F105" t="s">
        <v>754</v>
      </c>
    </row>
    <row r="106" spans="1:6" x14ac:dyDescent="0.25">
      <c r="A106" t="s">
        <v>876</v>
      </c>
      <c r="B106" t="s">
        <v>31</v>
      </c>
      <c r="C106" s="17">
        <v>44659</v>
      </c>
      <c r="D106" s="20" t="s">
        <v>925</v>
      </c>
      <c r="E106" t="s">
        <v>877</v>
      </c>
      <c r="F106" t="s">
        <v>754</v>
      </c>
    </row>
    <row r="107" spans="1:6" x14ac:dyDescent="0.25">
      <c r="A107" t="s">
        <v>878</v>
      </c>
      <c r="B107" t="s">
        <v>880</v>
      </c>
      <c r="C107" s="17">
        <v>44659</v>
      </c>
      <c r="D107" s="20">
        <v>0.76069444444444401</v>
      </c>
      <c r="E107" t="s">
        <v>714</v>
      </c>
      <c r="F107" t="s">
        <v>754</v>
      </c>
    </row>
    <row r="108" spans="1:6" x14ac:dyDescent="0.25">
      <c r="A108" t="s">
        <v>876</v>
      </c>
      <c r="B108" t="s">
        <v>31</v>
      </c>
      <c r="C108" s="17">
        <v>44659</v>
      </c>
      <c r="D108" s="20" t="s">
        <v>926</v>
      </c>
      <c r="E108" t="s">
        <v>877</v>
      </c>
      <c r="F108" t="s">
        <v>754</v>
      </c>
    </row>
    <row r="109" spans="1:6" x14ac:dyDescent="0.25">
      <c r="A109" t="s">
        <v>878</v>
      </c>
      <c r="B109" t="s">
        <v>880</v>
      </c>
      <c r="C109" s="17">
        <v>44659</v>
      </c>
      <c r="D109" s="20">
        <v>0.856331018518519</v>
      </c>
      <c r="E109" t="s">
        <v>898</v>
      </c>
      <c r="F109" t="s">
        <v>754</v>
      </c>
    </row>
    <row r="110" spans="1:6" x14ac:dyDescent="0.25">
      <c r="A110" t="s">
        <v>876</v>
      </c>
      <c r="B110" t="s">
        <v>31</v>
      </c>
      <c r="C110" s="17">
        <v>44659</v>
      </c>
      <c r="D110" s="20" t="s">
        <v>927</v>
      </c>
      <c r="E110" t="s">
        <v>877</v>
      </c>
      <c r="F110" t="s">
        <v>754</v>
      </c>
    </row>
    <row r="111" spans="1:6" x14ac:dyDescent="0.25">
      <c r="A111" t="s">
        <v>878</v>
      </c>
      <c r="B111" t="s">
        <v>880</v>
      </c>
      <c r="C111" s="17">
        <v>44659</v>
      </c>
      <c r="D111" s="20">
        <v>0.91800925925925903</v>
      </c>
      <c r="E111" t="s">
        <v>898</v>
      </c>
      <c r="F111" t="s">
        <v>754</v>
      </c>
    </row>
    <row r="112" spans="1:6" x14ac:dyDescent="0.25">
      <c r="A112" t="s">
        <v>876</v>
      </c>
      <c r="B112" t="s">
        <v>44</v>
      </c>
      <c r="C112" s="17">
        <v>44569</v>
      </c>
      <c r="D112" s="20" t="s">
        <v>1481</v>
      </c>
      <c r="E112" t="s">
        <v>877</v>
      </c>
      <c r="F112" t="s">
        <v>754</v>
      </c>
    </row>
    <row r="113" spans="1:6" x14ac:dyDescent="0.25">
      <c r="A113" t="s">
        <v>878</v>
      </c>
      <c r="B113" t="s">
        <v>881</v>
      </c>
      <c r="C113" s="17">
        <v>44569</v>
      </c>
      <c r="D113" s="20">
        <v>0.37035879629629598</v>
      </c>
      <c r="E113" t="s">
        <v>716</v>
      </c>
      <c r="F113" t="s">
        <v>754</v>
      </c>
    </row>
    <row r="114" spans="1:6" x14ac:dyDescent="0.25">
      <c r="A114" t="s">
        <v>876</v>
      </c>
      <c r="B114" t="s">
        <v>44</v>
      </c>
      <c r="C114" s="17">
        <v>44569</v>
      </c>
      <c r="D114" s="20" t="s">
        <v>1482</v>
      </c>
      <c r="E114" t="s">
        <v>877</v>
      </c>
      <c r="F114" t="s">
        <v>754</v>
      </c>
    </row>
    <row r="115" spans="1:6" x14ac:dyDescent="0.25">
      <c r="A115" t="s">
        <v>878</v>
      </c>
      <c r="B115" t="s">
        <v>881</v>
      </c>
      <c r="C115" s="17">
        <v>44569</v>
      </c>
      <c r="D115" s="20">
        <v>0.56269675925925899</v>
      </c>
      <c r="E115" t="s">
        <v>716</v>
      </c>
      <c r="F115" t="s">
        <v>754</v>
      </c>
    </row>
    <row r="116" spans="1:6" x14ac:dyDescent="0.25">
      <c r="A116" t="s">
        <v>876</v>
      </c>
      <c r="B116" t="s">
        <v>44</v>
      </c>
      <c r="C116" s="17">
        <v>44600</v>
      </c>
      <c r="D116" s="20" t="s">
        <v>845</v>
      </c>
      <c r="E116" t="s">
        <v>877</v>
      </c>
      <c r="F116" t="s">
        <v>754</v>
      </c>
    </row>
    <row r="117" spans="1:6" x14ac:dyDescent="0.25">
      <c r="A117" t="s">
        <v>878</v>
      </c>
      <c r="B117" t="s">
        <v>881</v>
      </c>
      <c r="C117" s="17">
        <v>44600</v>
      </c>
      <c r="D117" s="20">
        <v>0.46003472222222203</v>
      </c>
      <c r="E117" t="s">
        <v>716</v>
      </c>
      <c r="F117" t="s">
        <v>754</v>
      </c>
    </row>
    <row r="118" spans="1:6" x14ac:dyDescent="0.25">
      <c r="A118" t="s">
        <v>876</v>
      </c>
      <c r="B118" t="s">
        <v>44</v>
      </c>
      <c r="C118" s="17">
        <v>44600</v>
      </c>
      <c r="D118" s="20" t="s">
        <v>846</v>
      </c>
      <c r="E118" t="s">
        <v>877</v>
      </c>
      <c r="F118" t="s">
        <v>754</v>
      </c>
    </row>
    <row r="119" spans="1:6" x14ac:dyDescent="0.25">
      <c r="A119" t="s">
        <v>878</v>
      </c>
      <c r="B119" t="s">
        <v>881</v>
      </c>
      <c r="C119" s="17">
        <v>44600</v>
      </c>
      <c r="D119" s="20">
        <v>0.467708333333333</v>
      </c>
      <c r="E119" t="s">
        <v>716</v>
      </c>
      <c r="F119" t="s">
        <v>754</v>
      </c>
    </row>
    <row r="120" spans="1:6" x14ac:dyDescent="0.25">
      <c r="A120" t="s">
        <v>876</v>
      </c>
      <c r="B120" t="s">
        <v>44</v>
      </c>
      <c r="C120" s="17">
        <v>44628</v>
      </c>
      <c r="D120" s="20" t="s">
        <v>1292</v>
      </c>
      <c r="E120" t="s">
        <v>877</v>
      </c>
      <c r="F120" t="s">
        <v>754</v>
      </c>
    </row>
    <row r="121" spans="1:6" x14ac:dyDescent="0.25">
      <c r="A121" t="s">
        <v>878</v>
      </c>
      <c r="B121" t="s">
        <v>881</v>
      </c>
      <c r="C121" s="17">
        <v>44628</v>
      </c>
      <c r="D121" s="20">
        <v>0.78353009259259299</v>
      </c>
      <c r="E121" t="s">
        <v>899</v>
      </c>
      <c r="F121" t="s">
        <v>754</v>
      </c>
    </row>
    <row r="122" spans="1:6" x14ac:dyDescent="0.25">
      <c r="A122" t="s">
        <v>876</v>
      </c>
      <c r="B122" t="s">
        <v>44</v>
      </c>
      <c r="C122" s="17">
        <v>44628</v>
      </c>
      <c r="D122" s="20" t="s">
        <v>1293</v>
      </c>
      <c r="E122" t="s">
        <v>877</v>
      </c>
      <c r="F122" t="s">
        <v>754</v>
      </c>
    </row>
    <row r="123" spans="1:6" x14ac:dyDescent="0.25">
      <c r="A123" t="s">
        <v>878</v>
      </c>
      <c r="B123" t="s">
        <v>881</v>
      </c>
      <c r="C123" s="17">
        <v>44628</v>
      </c>
      <c r="D123" s="20">
        <v>0.85525462962962995</v>
      </c>
      <c r="E123" t="s">
        <v>899</v>
      </c>
      <c r="F123" t="s">
        <v>754</v>
      </c>
    </row>
    <row r="124" spans="1:6" x14ac:dyDescent="0.25">
      <c r="A124" t="s">
        <v>876</v>
      </c>
      <c r="B124" t="s">
        <v>44</v>
      </c>
      <c r="C124" s="17">
        <v>44628</v>
      </c>
      <c r="D124" s="20" t="s">
        <v>1294</v>
      </c>
      <c r="E124" t="s">
        <v>877</v>
      </c>
      <c r="F124" t="s">
        <v>754</v>
      </c>
    </row>
    <row r="125" spans="1:6" x14ac:dyDescent="0.25">
      <c r="A125" t="s">
        <v>878</v>
      </c>
      <c r="B125" t="s">
        <v>881</v>
      </c>
      <c r="C125" s="17">
        <v>44628</v>
      </c>
      <c r="D125" s="20">
        <v>0.93267361111111102</v>
      </c>
      <c r="E125" t="s">
        <v>899</v>
      </c>
      <c r="F125" t="s">
        <v>754</v>
      </c>
    </row>
    <row r="126" spans="1:6" x14ac:dyDescent="0.25">
      <c r="A126" t="s">
        <v>876</v>
      </c>
      <c r="B126" t="s">
        <v>44</v>
      </c>
      <c r="C126" s="17">
        <v>44659</v>
      </c>
      <c r="D126" s="20" t="s">
        <v>928</v>
      </c>
      <c r="E126" t="s">
        <v>877</v>
      </c>
      <c r="F126" t="s">
        <v>754</v>
      </c>
    </row>
    <row r="127" spans="1:6" x14ac:dyDescent="0.25">
      <c r="A127" t="s">
        <v>878</v>
      </c>
      <c r="B127" t="s">
        <v>881</v>
      </c>
      <c r="C127" s="17">
        <v>44659</v>
      </c>
      <c r="D127" s="20">
        <v>0.47438657407407397</v>
      </c>
      <c r="E127" t="s">
        <v>716</v>
      </c>
      <c r="F127" t="s">
        <v>754</v>
      </c>
    </row>
    <row r="128" spans="1:6" x14ac:dyDescent="0.25">
      <c r="A128" t="s">
        <v>876</v>
      </c>
      <c r="B128" t="s">
        <v>44</v>
      </c>
      <c r="C128" s="17">
        <v>44659</v>
      </c>
      <c r="D128" s="20" t="s">
        <v>929</v>
      </c>
      <c r="E128" t="s">
        <v>877</v>
      </c>
      <c r="F128" t="s">
        <v>754</v>
      </c>
    </row>
    <row r="129" spans="1:6" x14ac:dyDescent="0.25">
      <c r="A129" t="s">
        <v>878</v>
      </c>
      <c r="B129" t="s">
        <v>881</v>
      </c>
      <c r="C129" s="17">
        <v>44659</v>
      </c>
      <c r="D129" s="20">
        <v>0.68225694444444496</v>
      </c>
      <c r="E129" t="s">
        <v>716</v>
      </c>
      <c r="F129" t="s">
        <v>754</v>
      </c>
    </row>
    <row r="130" spans="1:6" x14ac:dyDescent="0.25">
      <c r="A130" t="s">
        <v>876</v>
      </c>
      <c r="B130" t="s">
        <v>44</v>
      </c>
      <c r="C130" s="17">
        <v>44659</v>
      </c>
      <c r="D130" s="20" t="s">
        <v>930</v>
      </c>
      <c r="E130" t="s">
        <v>877</v>
      </c>
      <c r="F130" t="s">
        <v>754</v>
      </c>
    </row>
    <row r="131" spans="1:6" x14ac:dyDescent="0.25">
      <c r="A131" t="s">
        <v>878</v>
      </c>
      <c r="B131" t="s">
        <v>881</v>
      </c>
      <c r="C131" s="17">
        <v>44659</v>
      </c>
      <c r="D131" s="20">
        <v>0.82255787037036998</v>
      </c>
      <c r="E131" t="s">
        <v>899</v>
      </c>
      <c r="F131" t="s">
        <v>754</v>
      </c>
    </row>
    <row r="132" spans="1:6" x14ac:dyDescent="0.25">
      <c r="A132" t="s">
        <v>876</v>
      </c>
      <c r="B132" t="s">
        <v>44</v>
      </c>
      <c r="C132" s="17">
        <v>44659</v>
      </c>
      <c r="D132" s="20" t="s">
        <v>863</v>
      </c>
      <c r="E132" t="s">
        <v>877</v>
      </c>
      <c r="F132" t="s">
        <v>754</v>
      </c>
    </row>
    <row r="133" spans="1:6" x14ac:dyDescent="0.25">
      <c r="A133" t="s">
        <v>878</v>
      </c>
      <c r="B133" t="s">
        <v>881</v>
      </c>
      <c r="C133" s="17">
        <v>44659</v>
      </c>
      <c r="D133" s="20">
        <v>0.82547453703703699</v>
      </c>
      <c r="E133" t="s">
        <v>899</v>
      </c>
      <c r="F133" t="s">
        <v>754</v>
      </c>
    </row>
    <row r="134" spans="1:6" x14ac:dyDescent="0.25">
      <c r="A134" t="s">
        <v>876</v>
      </c>
      <c r="B134" t="s">
        <v>44</v>
      </c>
      <c r="C134" s="17">
        <v>44659</v>
      </c>
      <c r="D134" s="20" t="s">
        <v>931</v>
      </c>
      <c r="E134" t="s">
        <v>877</v>
      </c>
      <c r="F134" t="s">
        <v>754</v>
      </c>
    </row>
    <row r="135" spans="1:6" x14ac:dyDescent="0.25">
      <c r="A135" t="s">
        <v>878</v>
      </c>
      <c r="B135" t="s">
        <v>881</v>
      </c>
      <c r="C135" s="17">
        <v>44659</v>
      </c>
      <c r="D135" s="20">
        <v>0.82715277777777796</v>
      </c>
      <c r="E135" t="s">
        <v>899</v>
      </c>
      <c r="F135" t="s">
        <v>754</v>
      </c>
    </row>
    <row r="136" spans="1:6" x14ac:dyDescent="0.25">
      <c r="A136" t="s">
        <v>876</v>
      </c>
      <c r="B136" t="s">
        <v>33</v>
      </c>
      <c r="C136" s="17">
        <v>44569</v>
      </c>
      <c r="D136" s="20" t="s">
        <v>1483</v>
      </c>
      <c r="E136" t="s">
        <v>877</v>
      </c>
      <c r="F136" t="s">
        <v>754</v>
      </c>
    </row>
    <row r="137" spans="1:6" x14ac:dyDescent="0.25">
      <c r="A137" t="s">
        <v>878</v>
      </c>
      <c r="B137" t="s">
        <v>882</v>
      </c>
      <c r="C137" s="17">
        <v>44569</v>
      </c>
      <c r="D137" s="20">
        <v>0.359375</v>
      </c>
      <c r="E137" t="s">
        <v>717</v>
      </c>
      <c r="F137" t="s">
        <v>754</v>
      </c>
    </row>
    <row r="138" spans="1:6" x14ac:dyDescent="0.25">
      <c r="A138" t="s">
        <v>876</v>
      </c>
      <c r="B138" t="s">
        <v>33</v>
      </c>
      <c r="C138" s="17">
        <v>44569</v>
      </c>
      <c r="D138" s="20" t="s">
        <v>1484</v>
      </c>
      <c r="E138" t="s">
        <v>877</v>
      </c>
      <c r="F138" t="s">
        <v>754</v>
      </c>
    </row>
    <row r="139" spans="1:6" x14ac:dyDescent="0.25">
      <c r="A139" t="s">
        <v>878</v>
      </c>
      <c r="B139" t="s">
        <v>882</v>
      </c>
      <c r="C139" s="17">
        <v>44569</v>
      </c>
      <c r="D139" s="20">
        <v>0.366574074074074</v>
      </c>
      <c r="E139" t="s">
        <v>717</v>
      </c>
      <c r="F139" t="s">
        <v>754</v>
      </c>
    </row>
    <row r="140" spans="1:6" x14ac:dyDescent="0.25">
      <c r="A140" t="s">
        <v>876</v>
      </c>
      <c r="B140" t="s">
        <v>33</v>
      </c>
      <c r="C140" s="17">
        <v>44569</v>
      </c>
      <c r="D140" s="20" t="s">
        <v>1485</v>
      </c>
      <c r="E140" t="s">
        <v>877</v>
      </c>
      <c r="F140" t="s">
        <v>754</v>
      </c>
    </row>
    <row r="141" spans="1:6" x14ac:dyDescent="0.25">
      <c r="A141" t="s">
        <v>878</v>
      </c>
      <c r="B141" t="s">
        <v>882</v>
      </c>
      <c r="C141" s="17">
        <v>44569</v>
      </c>
      <c r="D141" s="20">
        <v>0.48868055555555601</v>
      </c>
      <c r="E141" t="s">
        <v>717</v>
      </c>
      <c r="F141" t="s">
        <v>754</v>
      </c>
    </row>
    <row r="142" spans="1:6" x14ac:dyDescent="0.25">
      <c r="A142" t="s">
        <v>876</v>
      </c>
      <c r="B142" t="s">
        <v>33</v>
      </c>
      <c r="C142" s="17">
        <v>44569</v>
      </c>
      <c r="D142" s="20" t="s">
        <v>1486</v>
      </c>
      <c r="E142" t="s">
        <v>877</v>
      </c>
      <c r="F142" t="s">
        <v>754</v>
      </c>
    </row>
    <row r="143" spans="1:6" x14ac:dyDescent="0.25">
      <c r="A143" t="s">
        <v>878</v>
      </c>
      <c r="B143" t="s">
        <v>882</v>
      </c>
      <c r="C143" s="17">
        <v>44569</v>
      </c>
      <c r="D143" s="20">
        <v>0.67535879629629603</v>
      </c>
      <c r="E143" t="s">
        <v>717</v>
      </c>
      <c r="F143" t="s">
        <v>754</v>
      </c>
    </row>
    <row r="144" spans="1:6" x14ac:dyDescent="0.25">
      <c r="A144" t="s">
        <v>876</v>
      </c>
      <c r="B144" t="s">
        <v>33</v>
      </c>
      <c r="C144" s="17">
        <v>44600</v>
      </c>
      <c r="D144" s="20" t="s">
        <v>847</v>
      </c>
      <c r="E144" t="s">
        <v>877</v>
      </c>
      <c r="F144" t="s">
        <v>754</v>
      </c>
    </row>
    <row r="145" spans="1:6" x14ac:dyDescent="0.25">
      <c r="A145" t="s">
        <v>878</v>
      </c>
      <c r="B145" t="s">
        <v>882</v>
      </c>
      <c r="C145" s="17">
        <v>44600</v>
      </c>
      <c r="D145" s="20">
        <v>0.42800925925925898</v>
      </c>
      <c r="E145" t="s">
        <v>717</v>
      </c>
      <c r="F145" t="s">
        <v>754</v>
      </c>
    </row>
    <row r="146" spans="1:6" x14ac:dyDescent="0.25">
      <c r="A146" t="s">
        <v>876</v>
      </c>
      <c r="B146" t="s">
        <v>33</v>
      </c>
      <c r="C146" s="17">
        <v>44600</v>
      </c>
      <c r="D146" s="20" t="s">
        <v>848</v>
      </c>
      <c r="E146" t="s">
        <v>877</v>
      </c>
      <c r="F146" t="s">
        <v>754</v>
      </c>
    </row>
    <row r="147" spans="1:6" x14ac:dyDescent="0.25">
      <c r="A147" t="s">
        <v>878</v>
      </c>
      <c r="B147" t="s">
        <v>882</v>
      </c>
      <c r="C147" s="17">
        <v>44600</v>
      </c>
      <c r="D147" s="20">
        <v>0.57203703703703701</v>
      </c>
      <c r="E147" t="s">
        <v>717</v>
      </c>
      <c r="F147" t="s">
        <v>754</v>
      </c>
    </row>
    <row r="148" spans="1:6" x14ac:dyDescent="0.25">
      <c r="A148" t="s">
        <v>876</v>
      </c>
      <c r="B148" t="s">
        <v>33</v>
      </c>
      <c r="C148" s="17">
        <v>44600</v>
      </c>
      <c r="D148" s="20" t="s">
        <v>849</v>
      </c>
      <c r="E148" t="s">
        <v>877</v>
      </c>
      <c r="F148" t="s">
        <v>754</v>
      </c>
    </row>
    <row r="149" spans="1:6" x14ac:dyDescent="0.25">
      <c r="A149" t="s">
        <v>878</v>
      </c>
      <c r="B149" t="s">
        <v>882</v>
      </c>
      <c r="C149" s="17">
        <v>44600</v>
      </c>
      <c r="D149" s="20">
        <v>0.74674768518518497</v>
      </c>
      <c r="E149" t="s">
        <v>717</v>
      </c>
      <c r="F149" t="s">
        <v>754</v>
      </c>
    </row>
    <row r="150" spans="1:6" x14ac:dyDescent="0.25">
      <c r="A150" t="s">
        <v>876</v>
      </c>
      <c r="B150" t="s">
        <v>33</v>
      </c>
      <c r="C150" s="17">
        <v>44628</v>
      </c>
      <c r="D150" s="20" t="s">
        <v>1295</v>
      </c>
      <c r="E150" t="s">
        <v>877</v>
      </c>
      <c r="F150" t="s">
        <v>754</v>
      </c>
    </row>
    <row r="151" spans="1:6" x14ac:dyDescent="0.25">
      <c r="A151" t="s">
        <v>878</v>
      </c>
      <c r="B151" t="s">
        <v>882</v>
      </c>
      <c r="C151" s="17">
        <v>44628</v>
      </c>
      <c r="D151" s="20">
        <v>0.42072916666666699</v>
      </c>
      <c r="E151" t="s">
        <v>900</v>
      </c>
      <c r="F151" t="s">
        <v>754</v>
      </c>
    </row>
    <row r="152" spans="1:6" x14ac:dyDescent="0.25">
      <c r="A152" t="s">
        <v>876</v>
      </c>
      <c r="B152" t="s">
        <v>33</v>
      </c>
      <c r="C152" s="17">
        <v>44628</v>
      </c>
      <c r="D152" s="20" t="s">
        <v>1296</v>
      </c>
      <c r="E152" t="s">
        <v>877</v>
      </c>
      <c r="F152" t="s">
        <v>754</v>
      </c>
    </row>
    <row r="153" spans="1:6" x14ac:dyDescent="0.25">
      <c r="A153" t="s">
        <v>878</v>
      </c>
      <c r="B153" t="s">
        <v>882</v>
      </c>
      <c r="C153" s="17">
        <v>44628</v>
      </c>
      <c r="D153" s="20">
        <v>0.82990740740740698</v>
      </c>
      <c r="E153" t="s">
        <v>718</v>
      </c>
      <c r="F153" t="s">
        <v>754</v>
      </c>
    </row>
    <row r="154" spans="1:6" x14ac:dyDescent="0.25">
      <c r="A154" t="s">
        <v>876</v>
      </c>
      <c r="B154" t="s">
        <v>33</v>
      </c>
      <c r="C154" s="17">
        <v>44628</v>
      </c>
      <c r="D154" s="20" t="s">
        <v>1297</v>
      </c>
      <c r="E154" t="s">
        <v>877</v>
      </c>
      <c r="F154" t="s">
        <v>754</v>
      </c>
    </row>
    <row r="155" spans="1:6" x14ac:dyDescent="0.25">
      <c r="A155" t="s">
        <v>878</v>
      </c>
      <c r="B155" t="s">
        <v>882</v>
      </c>
      <c r="C155" s="17">
        <v>44628</v>
      </c>
      <c r="D155" s="20">
        <v>0.91467592592592595</v>
      </c>
      <c r="E155" t="s">
        <v>718</v>
      </c>
      <c r="F155" t="s">
        <v>754</v>
      </c>
    </row>
    <row r="156" spans="1:6" x14ac:dyDescent="0.25">
      <c r="A156" t="s">
        <v>876</v>
      </c>
      <c r="B156" t="s">
        <v>33</v>
      </c>
      <c r="C156" s="17">
        <v>44659</v>
      </c>
      <c r="D156" s="20" t="s">
        <v>932</v>
      </c>
      <c r="E156" t="s">
        <v>877</v>
      </c>
      <c r="F156" t="s">
        <v>754</v>
      </c>
    </row>
    <row r="157" spans="1:6" x14ac:dyDescent="0.25">
      <c r="A157" t="s">
        <v>878</v>
      </c>
      <c r="B157" t="s">
        <v>882</v>
      </c>
      <c r="C157" s="17">
        <v>44659</v>
      </c>
      <c r="D157" s="20">
        <v>0.32453703703703701</v>
      </c>
      <c r="E157" t="s">
        <v>718</v>
      </c>
      <c r="F157" t="s">
        <v>754</v>
      </c>
    </row>
    <row r="158" spans="1:6" x14ac:dyDescent="0.25">
      <c r="A158" t="s">
        <v>876</v>
      </c>
      <c r="B158" t="s">
        <v>33</v>
      </c>
      <c r="C158" s="17">
        <v>44659</v>
      </c>
      <c r="D158" s="20" t="s">
        <v>933</v>
      </c>
      <c r="E158" t="s">
        <v>877</v>
      </c>
      <c r="F158" t="s">
        <v>754</v>
      </c>
    </row>
    <row r="159" spans="1:6" x14ac:dyDescent="0.25">
      <c r="A159" t="s">
        <v>878</v>
      </c>
      <c r="B159" t="s">
        <v>882</v>
      </c>
      <c r="C159" s="17">
        <v>44659</v>
      </c>
      <c r="D159" s="20">
        <v>0.39019675925925901</v>
      </c>
      <c r="E159" t="s">
        <v>900</v>
      </c>
      <c r="F159" t="s">
        <v>754</v>
      </c>
    </row>
    <row r="160" spans="1:6" x14ac:dyDescent="0.25">
      <c r="A160" t="s">
        <v>876</v>
      </c>
      <c r="B160" t="s">
        <v>33</v>
      </c>
      <c r="C160" s="17">
        <v>44659</v>
      </c>
      <c r="D160" s="20" t="s">
        <v>934</v>
      </c>
      <c r="E160" t="s">
        <v>877</v>
      </c>
      <c r="F160" t="s">
        <v>754</v>
      </c>
    </row>
    <row r="161" spans="1:6" x14ac:dyDescent="0.25">
      <c r="A161" t="s">
        <v>878</v>
      </c>
      <c r="B161" t="s">
        <v>882</v>
      </c>
      <c r="C161" s="17">
        <v>44659</v>
      </c>
      <c r="D161" s="20">
        <v>0.39157407407407402</v>
      </c>
      <c r="E161" t="s">
        <v>900</v>
      </c>
      <c r="F161" t="s">
        <v>754</v>
      </c>
    </row>
    <row r="162" spans="1:6" x14ac:dyDescent="0.25">
      <c r="A162" t="s">
        <v>876</v>
      </c>
      <c r="B162" t="s">
        <v>33</v>
      </c>
      <c r="C162" s="17">
        <v>44659</v>
      </c>
      <c r="D162" s="20" t="s">
        <v>935</v>
      </c>
      <c r="E162" t="s">
        <v>877</v>
      </c>
      <c r="F162" t="s">
        <v>754</v>
      </c>
    </row>
    <row r="163" spans="1:6" x14ac:dyDescent="0.25">
      <c r="A163" t="s">
        <v>878</v>
      </c>
      <c r="B163" t="s">
        <v>882</v>
      </c>
      <c r="C163" s="17">
        <v>44659</v>
      </c>
      <c r="D163" s="20">
        <v>0.39292824074074101</v>
      </c>
      <c r="E163" t="s">
        <v>900</v>
      </c>
      <c r="F163" t="s">
        <v>754</v>
      </c>
    </row>
    <row r="164" spans="1:6" x14ac:dyDescent="0.25">
      <c r="A164" t="s">
        <v>876</v>
      </c>
      <c r="B164" t="s">
        <v>33</v>
      </c>
      <c r="C164" s="17">
        <v>44659</v>
      </c>
      <c r="D164" s="20" t="s">
        <v>936</v>
      </c>
      <c r="E164" t="s">
        <v>877</v>
      </c>
      <c r="F164" t="s">
        <v>754</v>
      </c>
    </row>
    <row r="165" spans="1:6" x14ac:dyDescent="0.25">
      <c r="A165" t="s">
        <v>878</v>
      </c>
      <c r="B165" t="s">
        <v>882</v>
      </c>
      <c r="C165" s="17">
        <v>44659</v>
      </c>
      <c r="D165" s="20">
        <v>0.50090277777777803</v>
      </c>
      <c r="E165" t="s">
        <v>900</v>
      </c>
      <c r="F165" t="s">
        <v>754</v>
      </c>
    </row>
    <row r="166" spans="1:6" x14ac:dyDescent="0.25">
      <c r="A166" t="s">
        <v>876</v>
      </c>
      <c r="B166" t="s">
        <v>33</v>
      </c>
      <c r="C166" s="17">
        <v>44659</v>
      </c>
      <c r="D166" s="20" t="s">
        <v>937</v>
      </c>
      <c r="E166" t="s">
        <v>877</v>
      </c>
      <c r="F166" t="s">
        <v>754</v>
      </c>
    </row>
    <row r="167" spans="1:6" x14ac:dyDescent="0.25">
      <c r="A167" t="s">
        <v>878</v>
      </c>
      <c r="B167" t="s">
        <v>882</v>
      </c>
      <c r="C167" s="17">
        <v>44659</v>
      </c>
      <c r="D167" s="20">
        <v>0.505659722222222</v>
      </c>
      <c r="E167" t="s">
        <v>900</v>
      </c>
      <c r="F167" t="s">
        <v>754</v>
      </c>
    </row>
    <row r="168" spans="1:6" x14ac:dyDescent="0.25">
      <c r="A168" t="s">
        <v>876</v>
      </c>
      <c r="B168" t="s">
        <v>33</v>
      </c>
      <c r="C168" s="17">
        <v>44659</v>
      </c>
      <c r="D168" s="20" t="s">
        <v>938</v>
      </c>
      <c r="E168" t="s">
        <v>877</v>
      </c>
      <c r="F168" t="s">
        <v>754</v>
      </c>
    </row>
    <row r="169" spans="1:6" x14ac:dyDescent="0.25">
      <c r="A169" t="s">
        <v>878</v>
      </c>
      <c r="B169" t="s">
        <v>882</v>
      </c>
      <c r="C169" s="17">
        <v>44659</v>
      </c>
      <c r="D169" s="20">
        <v>0.72256944444444404</v>
      </c>
      <c r="E169" t="s">
        <v>900</v>
      </c>
      <c r="F169" t="s">
        <v>754</v>
      </c>
    </row>
    <row r="170" spans="1:6" x14ac:dyDescent="0.25">
      <c r="A170" t="s">
        <v>876</v>
      </c>
      <c r="B170" t="s">
        <v>33</v>
      </c>
      <c r="C170" s="17">
        <v>44659</v>
      </c>
      <c r="D170" s="20" t="s">
        <v>939</v>
      </c>
      <c r="E170" t="s">
        <v>877</v>
      </c>
      <c r="F170" t="s">
        <v>754</v>
      </c>
    </row>
    <row r="171" spans="1:6" x14ac:dyDescent="0.25">
      <c r="A171" t="s">
        <v>878</v>
      </c>
      <c r="B171" t="s">
        <v>882</v>
      </c>
      <c r="C171" s="17">
        <v>44659</v>
      </c>
      <c r="D171" s="20">
        <v>0.72365740740740703</v>
      </c>
      <c r="E171" t="s">
        <v>900</v>
      </c>
      <c r="F171" t="s">
        <v>754</v>
      </c>
    </row>
    <row r="172" spans="1:6" x14ac:dyDescent="0.25">
      <c r="A172" t="s">
        <v>876</v>
      </c>
      <c r="B172" t="s">
        <v>33</v>
      </c>
      <c r="C172" s="17">
        <v>44659</v>
      </c>
      <c r="D172" s="20" t="s">
        <v>940</v>
      </c>
      <c r="E172" t="s">
        <v>877</v>
      </c>
      <c r="F172" t="s">
        <v>754</v>
      </c>
    </row>
    <row r="173" spans="1:6" x14ac:dyDescent="0.25">
      <c r="A173" t="s">
        <v>878</v>
      </c>
      <c r="B173" t="s">
        <v>882</v>
      </c>
      <c r="C173" s="17">
        <v>44659</v>
      </c>
      <c r="D173" s="20">
        <v>0.72585648148148196</v>
      </c>
      <c r="E173" t="s">
        <v>900</v>
      </c>
      <c r="F173" t="s">
        <v>754</v>
      </c>
    </row>
    <row r="174" spans="1:6" x14ac:dyDescent="0.25">
      <c r="A174" t="s">
        <v>876</v>
      </c>
      <c r="B174" t="s">
        <v>33</v>
      </c>
      <c r="C174" s="17">
        <v>44659</v>
      </c>
      <c r="D174" s="20" t="s">
        <v>941</v>
      </c>
      <c r="E174" t="s">
        <v>877</v>
      </c>
      <c r="F174" t="s">
        <v>754</v>
      </c>
    </row>
    <row r="175" spans="1:6" x14ac:dyDescent="0.25">
      <c r="A175" t="s">
        <v>878</v>
      </c>
      <c r="B175" t="s">
        <v>882</v>
      </c>
      <c r="C175" s="17">
        <v>44659</v>
      </c>
      <c r="D175" s="20">
        <v>0.74420138888888898</v>
      </c>
      <c r="E175" t="s">
        <v>900</v>
      </c>
      <c r="F175" t="s">
        <v>754</v>
      </c>
    </row>
    <row r="176" spans="1:6" x14ac:dyDescent="0.25">
      <c r="A176" t="s">
        <v>876</v>
      </c>
      <c r="B176" t="s">
        <v>33</v>
      </c>
      <c r="C176" s="17">
        <v>44659</v>
      </c>
      <c r="D176" s="20" t="s">
        <v>942</v>
      </c>
      <c r="E176" t="s">
        <v>877</v>
      </c>
      <c r="F176" t="s">
        <v>754</v>
      </c>
    </row>
    <row r="177" spans="1:6" x14ac:dyDescent="0.25">
      <c r="A177" t="s">
        <v>878</v>
      </c>
      <c r="B177" t="s">
        <v>882</v>
      </c>
      <c r="C177" s="17">
        <v>44659</v>
      </c>
      <c r="D177" s="20">
        <v>0.84791666666666698</v>
      </c>
      <c r="E177" t="s">
        <v>718</v>
      </c>
      <c r="F177" t="s">
        <v>754</v>
      </c>
    </row>
    <row r="178" spans="1:6" x14ac:dyDescent="0.25">
      <c r="A178" t="s">
        <v>876</v>
      </c>
      <c r="B178" t="s">
        <v>33</v>
      </c>
      <c r="C178" s="17">
        <v>44659</v>
      </c>
      <c r="D178" s="20" t="s">
        <v>943</v>
      </c>
      <c r="E178" t="s">
        <v>877</v>
      </c>
      <c r="F178" t="s">
        <v>754</v>
      </c>
    </row>
    <row r="179" spans="1:6" x14ac:dyDescent="0.25">
      <c r="A179" t="s">
        <v>878</v>
      </c>
      <c r="B179" t="s">
        <v>882</v>
      </c>
      <c r="C179" s="17">
        <v>44659</v>
      </c>
      <c r="D179" s="20">
        <v>0.86680555555555605</v>
      </c>
      <c r="E179" t="s">
        <v>718</v>
      </c>
      <c r="F179" t="s">
        <v>754</v>
      </c>
    </row>
    <row r="180" spans="1:6" x14ac:dyDescent="0.25">
      <c r="A180" t="s">
        <v>876</v>
      </c>
      <c r="B180" t="s">
        <v>32</v>
      </c>
      <c r="C180" s="17">
        <v>44569</v>
      </c>
      <c r="D180" s="20" t="s">
        <v>1487</v>
      </c>
      <c r="E180" t="s">
        <v>877</v>
      </c>
      <c r="F180" t="s">
        <v>754</v>
      </c>
    </row>
    <row r="181" spans="1:6" x14ac:dyDescent="0.25">
      <c r="A181" t="s">
        <v>878</v>
      </c>
      <c r="B181" t="s">
        <v>883</v>
      </c>
      <c r="C181" s="17">
        <v>44569</v>
      </c>
      <c r="D181" s="20">
        <v>0.44003472222222201</v>
      </c>
      <c r="E181" t="s">
        <v>719</v>
      </c>
      <c r="F181" t="s">
        <v>754</v>
      </c>
    </row>
    <row r="182" spans="1:6" x14ac:dyDescent="0.25">
      <c r="A182" t="s">
        <v>876</v>
      </c>
      <c r="B182" t="s">
        <v>32</v>
      </c>
      <c r="C182" s="17">
        <v>44569</v>
      </c>
      <c r="D182" s="20" t="s">
        <v>1488</v>
      </c>
      <c r="E182" t="s">
        <v>877</v>
      </c>
      <c r="F182" t="s">
        <v>754</v>
      </c>
    </row>
    <row r="183" spans="1:6" x14ac:dyDescent="0.25">
      <c r="A183" t="s">
        <v>878</v>
      </c>
      <c r="B183" t="s">
        <v>883</v>
      </c>
      <c r="C183" s="17">
        <v>44569</v>
      </c>
      <c r="D183" s="20">
        <v>0.44152777777777802</v>
      </c>
      <c r="E183" t="s">
        <v>719</v>
      </c>
      <c r="F183" t="s">
        <v>754</v>
      </c>
    </row>
    <row r="184" spans="1:6" x14ac:dyDescent="0.25">
      <c r="A184" t="s">
        <v>876</v>
      </c>
      <c r="B184" t="s">
        <v>32</v>
      </c>
      <c r="C184" s="17">
        <v>44569</v>
      </c>
      <c r="D184" s="20" t="s">
        <v>1489</v>
      </c>
      <c r="E184" t="s">
        <v>877</v>
      </c>
      <c r="F184" t="s">
        <v>754</v>
      </c>
    </row>
    <row r="185" spans="1:6" x14ac:dyDescent="0.25">
      <c r="A185" t="s">
        <v>878</v>
      </c>
      <c r="B185" t="s">
        <v>883</v>
      </c>
      <c r="C185" s="17">
        <v>44569</v>
      </c>
      <c r="D185" s="20">
        <v>0.90226851851851897</v>
      </c>
      <c r="E185" t="s">
        <v>720</v>
      </c>
      <c r="F185" t="s">
        <v>754</v>
      </c>
    </row>
    <row r="186" spans="1:6" x14ac:dyDescent="0.25">
      <c r="A186" t="s">
        <v>876</v>
      </c>
      <c r="B186" t="s">
        <v>32</v>
      </c>
      <c r="C186" s="17">
        <v>44600</v>
      </c>
      <c r="D186" s="20" t="s">
        <v>850</v>
      </c>
      <c r="E186" t="s">
        <v>877</v>
      </c>
      <c r="F186" t="s">
        <v>754</v>
      </c>
    </row>
    <row r="187" spans="1:6" x14ac:dyDescent="0.25">
      <c r="A187" t="s">
        <v>878</v>
      </c>
      <c r="B187" t="s">
        <v>883</v>
      </c>
      <c r="C187" s="17">
        <v>44600</v>
      </c>
      <c r="D187" s="20">
        <v>0.61825231481481502</v>
      </c>
      <c r="E187" t="s">
        <v>719</v>
      </c>
      <c r="F187" t="s">
        <v>754</v>
      </c>
    </row>
    <row r="188" spans="1:6" x14ac:dyDescent="0.25">
      <c r="A188" t="s">
        <v>876</v>
      </c>
      <c r="B188" t="s">
        <v>32</v>
      </c>
      <c r="C188" s="17">
        <v>44600</v>
      </c>
      <c r="D188" s="20" t="s">
        <v>851</v>
      </c>
      <c r="E188" t="s">
        <v>877</v>
      </c>
      <c r="F188" t="s">
        <v>754</v>
      </c>
    </row>
    <row r="189" spans="1:6" x14ac:dyDescent="0.25">
      <c r="A189" t="s">
        <v>878</v>
      </c>
      <c r="B189" t="s">
        <v>883</v>
      </c>
      <c r="C189" s="17">
        <v>44600</v>
      </c>
      <c r="D189" s="20">
        <v>0.80483796296296295</v>
      </c>
      <c r="E189" t="s">
        <v>720</v>
      </c>
      <c r="F189" t="s">
        <v>754</v>
      </c>
    </row>
    <row r="190" spans="1:6" x14ac:dyDescent="0.25">
      <c r="A190" t="s">
        <v>876</v>
      </c>
      <c r="B190" t="s">
        <v>32</v>
      </c>
      <c r="C190" s="17">
        <v>44600</v>
      </c>
      <c r="D190" s="20" t="s">
        <v>852</v>
      </c>
      <c r="E190" t="s">
        <v>877</v>
      </c>
      <c r="F190" t="s">
        <v>754</v>
      </c>
    </row>
    <row r="191" spans="1:6" x14ac:dyDescent="0.25">
      <c r="A191" t="s">
        <v>878</v>
      </c>
      <c r="B191" t="s">
        <v>883</v>
      </c>
      <c r="C191" s="17">
        <v>44600</v>
      </c>
      <c r="D191" s="20">
        <v>0.89217592592592598</v>
      </c>
      <c r="E191" t="s">
        <v>720</v>
      </c>
      <c r="F191" t="s">
        <v>754</v>
      </c>
    </row>
    <row r="192" spans="1:6" x14ac:dyDescent="0.25">
      <c r="A192" t="s">
        <v>876</v>
      </c>
      <c r="B192" t="s">
        <v>32</v>
      </c>
      <c r="C192" s="17">
        <v>44600</v>
      </c>
      <c r="D192" s="20" t="s">
        <v>853</v>
      </c>
      <c r="E192" t="s">
        <v>877</v>
      </c>
      <c r="F192" t="s">
        <v>754</v>
      </c>
    </row>
    <row r="193" spans="1:6" x14ac:dyDescent="0.25">
      <c r="A193" t="s">
        <v>878</v>
      </c>
      <c r="B193" t="s">
        <v>883</v>
      </c>
      <c r="C193" s="17">
        <v>44600</v>
      </c>
      <c r="D193" s="20">
        <v>0.89348379629629604</v>
      </c>
      <c r="E193" t="s">
        <v>720</v>
      </c>
      <c r="F193" t="s">
        <v>754</v>
      </c>
    </row>
    <row r="194" spans="1:6" x14ac:dyDescent="0.25">
      <c r="A194" t="s">
        <v>876</v>
      </c>
      <c r="B194" t="s">
        <v>32</v>
      </c>
      <c r="C194" s="17">
        <v>44600</v>
      </c>
      <c r="D194" s="20" t="s">
        <v>854</v>
      </c>
      <c r="E194" t="s">
        <v>877</v>
      </c>
      <c r="F194" t="s">
        <v>754</v>
      </c>
    </row>
    <row r="195" spans="1:6" x14ac:dyDescent="0.25">
      <c r="A195" t="s">
        <v>878</v>
      </c>
      <c r="B195" t="s">
        <v>883</v>
      </c>
      <c r="C195" s="17">
        <v>44600</v>
      </c>
      <c r="D195" s="20">
        <v>0.89518518518518497</v>
      </c>
      <c r="E195" t="s">
        <v>720</v>
      </c>
      <c r="F195" t="s">
        <v>754</v>
      </c>
    </row>
    <row r="196" spans="1:6" x14ac:dyDescent="0.25">
      <c r="A196" t="s">
        <v>876</v>
      </c>
      <c r="B196" t="s">
        <v>32</v>
      </c>
      <c r="C196" s="17">
        <v>44628</v>
      </c>
      <c r="D196" s="20" t="s">
        <v>1298</v>
      </c>
      <c r="E196" t="s">
        <v>877</v>
      </c>
      <c r="F196" t="s">
        <v>754</v>
      </c>
    </row>
    <row r="197" spans="1:6" x14ac:dyDescent="0.25">
      <c r="A197" t="s">
        <v>878</v>
      </c>
      <c r="B197" t="s">
        <v>883</v>
      </c>
      <c r="C197" s="17">
        <v>44628</v>
      </c>
      <c r="D197" s="20">
        <v>0.35501157407407402</v>
      </c>
      <c r="E197" t="s">
        <v>719</v>
      </c>
      <c r="F197" t="s">
        <v>754</v>
      </c>
    </row>
    <row r="198" spans="1:6" x14ac:dyDescent="0.25">
      <c r="A198" t="s">
        <v>876</v>
      </c>
      <c r="B198" t="s">
        <v>32</v>
      </c>
      <c r="C198" s="17">
        <v>44628</v>
      </c>
      <c r="D198" s="20" t="s">
        <v>1299</v>
      </c>
      <c r="E198" t="s">
        <v>877</v>
      </c>
      <c r="F198" t="s">
        <v>754</v>
      </c>
    </row>
    <row r="199" spans="1:6" x14ac:dyDescent="0.25">
      <c r="A199" t="s">
        <v>878</v>
      </c>
      <c r="B199" t="s">
        <v>883</v>
      </c>
      <c r="C199" s="17">
        <v>44628</v>
      </c>
      <c r="D199" s="20">
        <v>0.58302083333333299</v>
      </c>
      <c r="E199" t="s">
        <v>719</v>
      </c>
      <c r="F199" t="s">
        <v>754</v>
      </c>
    </row>
    <row r="200" spans="1:6" x14ac:dyDescent="0.25">
      <c r="A200" t="s">
        <v>876</v>
      </c>
      <c r="B200" t="s">
        <v>32</v>
      </c>
      <c r="C200" s="17">
        <v>44628</v>
      </c>
      <c r="D200" s="20" t="s">
        <v>1300</v>
      </c>
      <c r="E200" t="s">
        <v>877</v>
      </c>
      <c r="F200" t="s">
        <v>754</v>
      </c>
    </row>
    <row r="201" spans="1:6" x14ac:dyDescent="0.25">
      <c r="A201" t="s">
        <v>878</v>
      </c>
      <c r="B201" t="s">
        <v>883</v>
      </c>
      <c r="C201" s="17">
        <v>44628</v>
      </c>
      <c r="D201" s="20">
        <v>0.60347222222222197</v>
      </c>
      <c r="E201" t="s">
        <v>719</v>
      </c>
      <c r="F201" t="s">
        <v>754</v>
      </c>
    </row>
    <row r="202" spans="1:6" x14ac:dyDescent="0.25">
      <c r="A202" t="s">
        <v>876</v>
      </c>
      <c r="B202" t="s">
        <v>32</v>
      </c>
      <c r="C202" s="17">
        <v>44628</v>
      </c>
      <c r="D202" s="20" t="s">
        <v>1301</v>
      </c>
      <c r="E202" t="s">
        <v>877</v>
      </c>
      <c r="F202" t="s">
        <v>754</v>
      </c>
    </row>
    <row r="203" spans="1:6" x14ac:dyDescent="0.25">
      <c r="A203" t="s">
        <v>878</v>
      </c>
      <c r="B203" t="s">
        <v>883</v>
      </c>
      <c r="C203" s="17">
        <v>44628</v>
      </c>
      <c r="D203" s="20">
        <v>0.70975694444444404</v>
      </c>
      <c r="E203" t="s">
        <v>719</v>
      </c>
      <c r="F203" t="s">
        <v>754</v>
      </c>
    </row>
    <row r="204" spans="1:6" x14ac:dyDescent="0.25">
      <c r="A204" t="s">
        <v>876</v>
      </c>
      <c r="B204" t="s">
        <v>32</v>
      </c>
      <c r="C204" s="17">
        <v>44659</v>
      </c>
      <c r="D204" s="20" t="s">
        <v>944</v>
      </c>
      <c r="E204" t="s">
        <v>877</v>
      </c>
      <c r="F204" t="s">
        <v>754</v>
      </c>
    </row>
    <row r="205" spans="1:6" x14ac:dyDescent="0.25">
      <c r="A205" t="s">
        <v>878</v>
      </c>
      <c r="B205" t="s">
        <v>883</v>
      </c>
      <c r="C205" s="17">
        <v>44659</v>
      </c>
      <c r="D205" s="20">
        <v>0.30394675925925901</v>
      </c>
      <c r="E205" t="s">
        <v>719</v>
      </c>
      <c r="F205" t="s">
        <v>754</v>
      </c>
    </row>
    <row r="206" spans="1:6" x14ac:dyDescent="0.25">
      <c r="A206" t="s">
        <v>876</v>
      </c>
      <c r="B206" t="s">
        <v>32</v>
      </c>
      <c r="C206" s="17">
        <v>44659</v>
      </c>
      <c r="D206" s="20" t="s">
        <v>945</v>
      </c>
      <c r="E206" t="s">
        <v>877</v>
      </c>
      <c r="F206" t="s">
        <v>754</v>
      </c>
    </row>
    <row r="207" spans="1:6" x14ac:dyDescent="0.25">
      <c r="A207" t="s">
        <v>878</v>
      </c>
      <c r="B207" t="s">
        <v>883</v>
      </c>
      <c r="C207" s="17">
        <v>44659</v>
      </c>
      <c r="D207" s="20">
        <v>0.3565625</v>
      </c>
      <c r="E207" t="s">
        <v>719</v>
      </c>
      <c r="F207" t="s">
        <v>754</v>
      </c>
    </row>
    <row r="208" spans="1:6" x14ac:dyDescent="0.25">
      <c r="A208" t="s">
        <v>876</v>
      </c>
      <c r="B208" t="s">
        <v>32</v>
      </c>
      <c r="C208" s="17">
        <v>44659</v>
      </c>
      <c r="D208" s="20" t="s">
        <v>946</v>
      </c>
      <c r="E208" t="s">
        <v>877</v>
      </c>
      <c r="F208" t="s">
        <v>754</v>
      </c>
    </row>
    <row r="209" spans="1:6" x14ac:dyDescent="0.25">
      <c r="A209" t="s">
        <v>878</v>
      </c>
      <c r="B209" t="s">
        <v>883</v>
      </c>
      <c r="C209" s="17">
        <v>44659</v>
      </c>
      <c r="D209" s="20">
        <v>0.38383101851851897</v>
      </c>
      <c r="E209" t="s">
        <v>719</v>
      </c>
      <c r="F209" t="s">
        <v>754</v>
      </c>
    </row>
    <row r="210" spans="1:6" x14ac:dyDescent="0.25">
      <c r="A210" t="s">
        <v>876</v>
      </c>
      <c r="B210" t="s">
        <v>32</v>
      </c>
      <c r="C210" s="17">
        <v>44659</v>
      </c>
      <c r="D210" s="20" t="s">
        <v>947</v>
      </c>
      <c r="E210" t="s">
        <v>877</v>
      </c>
      <c r="F210" t="s">
        <v>754</v>
      </c>
    </row>
    <row r="211" spans="1:6" x14ac:dyDescent="0.25">
      <c r="A211" t="s">
        <v>878</v>
      </c>
      <c r="B211" t="s">
        <v>883</v>
      </c>
      <c r="C211" s="17">
        <v>44659</v>
      </c>
      <c r="D211" s="20">
        <v>0.68482638888888903</v>
      </c>
      <c r="E211" t="s">
        <v>719</v>
      </c>
      <c r="F211" t="s">
        <v>754</v>
      </c>
    </row>
    <row r="212" spans="1:6" x14ac:dyDescent="0.25">
      <c r="A212" t="s">
        <v>876</v>
      </c>
      <c r="B212" t="s">
        <v>32</v>
      </c>
      <c r="C212" s="17">
        <v>44659</v>
      </c>
      <c r="D212" s="20" t="s">
        <v>948</v>
      </c>
      <c r="E212" t="s">
        <v>877</v>
      </c>
      <c r="F212" t="s">
        <v>754</v>
      </c>
    </row>
    <row r="213" spans="1:6" x14ac:dyDescent="0.25">
      <c r="A213" t="s">
        <v>878</v>
      </c>
      <c r="B213" t="s">
        <v>883</v>
      </c>
      <c r="C213" s="17">
        <v>44659</v>
      </c>
      <c r="D213" s="20">
        <v>0.68585648148148104</v>
      </c>
      <c r="E213" t="s">
        <v>719</v>
      </c>
      <c r="F213" t="s">
        <v>754</v>
      </c>
    </row>
    <row r="214" spans="1:6" x14ac:dyDescent="0.25">
      <c r="A214" t="s">
        <v>876</v>
      </c>
      <c r="B214" t="s">
        <v>32</v>
      </c>
      <c r="C214" s="17">
        <v>44659</v>
      </c>
      <c r="D214" s="20" t="s">
        <v>949</v>
      </c>
      <c r="E214" t="s">
        <v>877</v>
      </c>
      <c r="F214" t="s">
        <v>754</v>
      </c>
    </row>
    <row r="215" spans="1:6" x14ac:dyDescent="0.25">
      <c r="A215" t="s">
        <v>878</v>
      </c>
      <c r="B215" t="s">
        <v>883</v>
      </c>
      <c r="C215" s="17">
        <v>44659</v>
      </c>
      <c r="D215" s="20">
        <v>0.72486111111111096</v>
      </c>
      <c r="E215" t="s">
        <v>901</v>
      </c>
      <c r="F215" t="s">
        <v>754</v>
      </c>
    </row>
    <row r="216" spans="1:6" x14ac:dyDescent="0.25">
      <c r="A216" t="s">
        <v>876</v>
      </c>
      <c r="B216" t="s">
        <v>32</v>
      </c>
      <c r="C216" s="17">
        <v>44659</v>
      </c>
      <c r="D216" s="20" t="s">
        <v>950</v>
      </c>
      <c r="E216" t="s">
        <v>877</v>
      </c>
      <c r="F216" t="s">
        <v>754</v>
      </c>
    </row>
    <row r="217" spans="1:6" x14ac:dyDescent="0.25">
      <c r="A217" t="s">
        <v>878</v>
      </c>
      <c r="B217" t="s">
        <v>883</v>
      </c>
      <c r="C217" s="17">
        <v>44659</v>
      </c>
      <c r="D217" s="20">
        <v>0.77501157407407395</v>
      </c>
      <c r="E217" t="s">
        <v>720</v>
      </c>
      <c r="F217" t="s">
        <v>754</v>
      </c>
    </row>
    <row r="218" spans="1:6" x14ac:dyDescent="0.25">
      <c r="A218" t="s">
        <v>876</v>
      </c>
      <c r="B218" t="s">
        <v>32</v>
      </c>
      <c r="C218" s="17">
        <v>44659</v>
      </c>
      <c r="D218" s="20" t="s">
        <v>951</v>
      </c>
      <c r="E218" t="s">
        <v>877</v>
      </c>
      <c r="F218" t="s">
        <v>754</v>
      </c>
    </row>
    <row r="219" spans="1:6" x14ac:dyDescent="0.25">
      <c r="A219" t="s">
        <v>878</v>
      </c>
      <c r="B219" t="s">
        <v>883</v>
      </c>
      <c r="C219" s="17">
        <v>44659</v>
      </c>
      <c r="D219" s="20">
        <v>0.77725694444444404</v>
      </c>
      <c r="E219" t="s">
        <v>720</v>
      </c>
      <c r="F219" t="s">
        <v>754</v>
      </c>
    </row>
    <row r="220" spans="1:6" x14ac:dyDescent="0.25">
      <c r="A220" t="s">
        <v>876</v>
      </c>
      <c r="B220" t="s">
        <v>32</v>
      </c>
      <c r="C220" s="17">
        <v>44659</v>
      </c>
      <c r="D220" s="20" t="s">
        <v>952</v>
      </c>
      <c r="E220" t="s">
        <v>877</v>
      </c>
      <c r="F220" t="s">
        <v>754</v>
      </c>
    </row>
    <row r="221" spans="1:6" x14ac:dyDescent="0.25">
      <c r="A221" t="s">
        <v>878</v>
      </c>
      <c r="B221" t="s">
        <v>883</v>
      </c>
      <c r="C221" s="17">
        <v>44659</v>
      </c>
      <c r="D221" s="20">
        <v>0.78798611111111105</v>
      </c>
      <c r="E221" t="s">
        <v>720</v>
      </c>
      <c r="F221" t="s">
        <v>754</v>
      </c>
    </row>
    <row r="222" spans="1:6" x14ac:dyDescent="0.25">
      <c r="A222" t="s">
        <v>876</v>
      </c>
      <c r="B222" t="s">
        <v>32</v>
      </c>
      <c r="C222" s="17">
        <v>44659</v>
      </c>
      <c r="D222" s="20" t="s">
        <v>953</v>
      </c>
      <c r="E222" t="s">
        <v>877</v>
      </c>
      <c r="F222" t="s">
        <v>754</v>
      </c>
    </row>
    <row r="223" spans="1:6" x14ac:dyDescent="0.25">
      <c r="A223" t="s">
        <v>878</v>
      </c>
      <c r="B223" t="s">
        <v>883</v>
      </c>
      <c r="C223" s="17">
        <v>44659</v>
      </c>
      <c r="D223" s="20">
        <v>0.789791666666667</v>
      </c>
      <c r="E223" t="s">
        <v>720</v>
      </c>
      <c r="F223" t="s">
        <v>754</v>
      </c>
    </row>
    <row r="224" spans="1:6" x14ac:dyDescent="0.25">
      <c r="A224" t="s">
        <v>876</v>
      </c>
      <c r="B224" t="s">
        <v>32</v>
      </c>
      <c r="C224" s="17">
        <v>44659</v>
      </c>
      <c r="D224" s="20" t="s">
        <v>954</v>
      </c>
      <c r="E224" t="s">
        <v>877</v>
      </c>
      <c r="F224" t="s">
        <v>754</v>
      </c>
    </row>
    <row r="225" spans="1:6" x14ac:dyDescent="0.25">
      <c r="A225" t="s">
        <v>878</v>
      </c>
      <c r="B225" t="s">
        <v>883</v>
      </c>
      <c r="C225" s="17">
        <v>44659</v>
      </c>
      <c r="D225" s="20">
        <v>0.79182870370370395</v>
      </c>
      <c r="E225" t="s">
        <v>720</v>
      </c>
      <c r="F225" t="s">
        <v>754</v>
      </c>
    </row>
    <row r="226" spans="1:6" x14ac:dyDescent="0.25">
      <c r="A226" t="s">
        <v>876</v>
      </c>
      <c r="B226" t="s">
        <v>32</v>
      </c>
      <c r="C226" s="17">
        <v>44659</v>
      </c>
      <c r="D226" s="20" t="s">
        <v>955</v>
      </c>
      <c r="E226" t="s">
        <v>877</v>
      </c>
      <c r="F226" t="s">
        <v>754</v>
      </c>
    </row>
    <row r="227" spans="1:6" x14ac:dyDescent="0.25">
      <c r="A227" t="s">
        <v>878</v>
      </c>
      <c r="B227" t="s">
        <v>883</v>
      </c>
      <c r="C227" s="17">
        <v>44659</v>
      </c>
      <c r="D227" s="20">
        <v>0.88351851851851804</v>
      </c>
      <c r="E227" t="s">
        <v>720</v>
      </c>
      <c r="F227" t="s">
        <v>754</v>
      </c>
    </row>
    <row r="228" spans="1:6" x14ac:dyDescent="0.25">
      <c r="A228" t="s">
        <v>876</v>
      </c>
      <c r="B228" t="s">
        <v>32</v>
      </c>
      <c r="C228" s="17">
        <v>44659</v>
      </c>
      <c r="D228" s="20" t="s">
        <v>956</v>
      </c>
      <c r="E228" t="s">
        <v>877</v>
      </c>
      <c r="F228" t="s">
        <v>754</v>
      </c>
    </row>
    <row r="229" spans="1:6" x14ac:dyDescent="0.25">
      <c r="A229" t="s">
        <v>878</v>
      </c>
      <c r="B229" t="s">
        <v>883</v>
      </c>
      <c r="C229" s="17">
        <v>44659</v>
      </c>
      <c r="D229" s="20">
        <v>0.89356481481481498</v>
      </c>
      <c r="E229" t="s">
        <v>720</v>
      </c>
      <c r="F229" t="s">
        <v>754</v>
      </c>
    </row>
    <row r="230" spans="1:6" x14ac:dyDescent="0.25">
      <c r="A230" t="s">
        <v>876</v>
      </c>
      <c r="B230" t="s">
        <v>32</v>
      </c>
      <c r="C230" s="17">
        <v>44659</v>
      </c>
      <c r="D230" s="20" t="s">
        <v>957</v>
      </c>
      <c r="E230" t="s">
        <v>877</v>
      </c>
      <c r="F230" t="s">
        <v>754</v>
      </c>
    </row>
    <row r="231" spans="1:6" x14ac:dyDescent="0.25">
      <c r="A231" t="s">
        <v>878</v>
      </c>
      <c r="B231" t="s">
        <v>883</v>
      </c>
      <c r="C231" s="17">
        <v>44659</v>
      </c>
      <c r="D231" s="20">
        <v>0.90524305555555595</v>
      </c>
      <c r="E231" t="s">
        <v>720</v>
      </c>
      <c r="F231" t="s">
        <v>754</v>
      </c>
    </row>
    <row r="232" spans="1:6" x14ac:dyDescent="0.25">
      <c r="A232" t="s">
        <v>876</v>
      </c>
      <c r="B232" t="s">
        <v>32</v>
      </c>
      <c r="C232" s="17">
        <v>44659</v>
      </c>
      <c r="D232" s="20" t="s">
        <v>958</v>
      </c>
      <c r="E232" t="s">
        <v>877</v>
      </c>
      <c r="F232" t="s">
        <v>754</v>
      </c>
    </row>
    <row r="233" spans="1:6" x14ac:dyDescent="0.25">
      <c r="A233" t="s">
        <v>878</v>
      </c>
      <c r="B233" t="s">
        <v>883</v>
      </c>
      <c r="C233" s="17">
        <v>44659</v>
      </c>
      <c r="D233" s="20">
        <v>0.90666666666666695</v>
      </c>
      <c r="E233" t="s">
        <v>720</v>
      </c>
      <c r="F233" t="s">
        <v>754</v>
      </c>
    </row>
    <row r="234" spans="1:6" x14ac:dyDescent="0.25">
      <c r="A234" t="s">
        <v>876</v>
      </c>
      <c r="B234" t="s">
        <v>32</v>
      </c>
      <c r="C234" s="17">
        <v>44659</v>
      </c>
      <c r="D234" s="20" t="s">
        <v>959</v>
      </c>
      <c r="E234" t="s">
        <v>877</v>
      </c>
      <c r="F234" t="s">
        <v>754</v>
      </c>
    </row>
    <row r="235" spans="1:6" x14ac:dyDescent="0.25">
      <c r="A235" t="s">
        <v>878</v>
      </c>
      <c r="B235" t="s">
        <v>883</v>
      </c>
      <c r="C235" s="17">
        <v>44659</v>
      </c>
      <c r="D235" s="20">
        <v>0.91108796296296302</v>
      </c>
      <c r="E235" t="s">
        <v>720</v>
      </c>
      <c r="F235" t="s">
        <v>754</v>
      </c>
    </row>
    <row r="236" spans="1:6" x14ac:dyDescent="0.25">
      <c r="A236" t="s">
        <v>876</v>
      </c>
      <c r="B236" t="s">
        <v>32</v>
      </c>
      <c r="C236" s="17">
        <v>44659</v>
      </c>
      <c r="D236" s="20" t="s">
        <v>960</v>
      </c>
      <c r="E236" t="s">
        <v>877</v>
      </c>
      <c r="F236" t="s">
        <v>754</v>
      </c>
    </row>
    <row r="237" spans="1:6" x14ac:dyDescent="0.25">
      <c r="A237" t="s">
        <v>878</v>
      </c>
      <c r="B237" t="s">
        <v>883</v>
      </c>
      <c r="C237" s="17">
        <v>44659</v>
      </c>
      <c r="D237" s="20">
        <v>0.92216435185185197</v>
      </c>
      <c r="E237" t="s">
        <v>720</v>
      </c>
      <c r="F237" t="s">
        <v>754</v>
      </c>
    </row>
    <row r="238" spans="1:6" x14ac:dyDescent="0.25">
      <c r="A238" t="s">
        <v>876</v>
      </c>
      <c r="B238" t="s">
        <v>32</v>
      </c>
      <c r="C238" s="17">
        <v>44659</v>
      </c>
      <c r="D238" s="20" t="s">
        <v>961</v>
      </c>
      <c r="E238" t="s">
        <v>877</v>
      </c>
      <c r="F238" t="s">
        <v>754</v>
      </c>
    </row>
    <row r="239" spans="1:6" x14ac:dyDescent="0.25">
      <c r="A239" t="s">
        <v>878</v>
      </c>
      <c r="B239" t="s">
        <v>883</v>
      </c>
      <c r="C239" s="17">
        <v>44659</v>
      </c>
      <c r="D239" s="20">
        <v>0.95528935185185204</v>
      </c>
      <c r="E239" t="s">
        <v>720</v>
      </c>
      <c r="F239" t="s">
        <v>754</v>
      </c>
    </row>
    <row r="240" spans="1:6" x14ac:dyDescent="0.25">
      <c r="A240" t="s">
        <v>876</v>
      </c>
      <c r="B240" t="s">
        <v>35</v>
      </c>
      <c r="C240" s="17">
        <v>44569</v>
      </c>
      <c r="D240" s="20" t="s">
        <v>1490</v>
      </c>
      <c r="E240" t="s">
        <v>877</v>
      </c>
      <c r="F240" t="s">
        <v>754</v>
      </c>
    </row>
    <row r="241" spans="1:6" x14ac:dyDescent="0.25">
      <c r="A241" t="s">
        <v>878</v>
      </c>
      <c r="B241" t="s">
        <v>884</v>
      </c>
      <c r="C241" s="17">
        <v>44569</v>
      </c>
      <c r="D241" s="20">
        <v>3.9224537037037002E-2</v>
      </c>
      <c r="E241" t="s">
        <v>902</v>
      </c>
      <c r="F241" t="s">
        <v>754</v>
      </c>
    </row>
    <row r="242" spans="1:6" x14ac:dyDescent="0.25">
      <c r="A242" t="s">
        <v>876</v>
      </c>
      <c r="B242" t="s">
        <v>35</v>
      </c>
      <c r="C242" s="17">
        <v>44569</v>
      </c>
      <c r="D242" s="20" t="s">
        <v>1491</v>
      </c>
      <c r="E242" t="s">
        <v>877</v>
      </c>
      <c r="F242" t="s">
        <v>754</v>
      </c>
    </row>
    <row r="243" spans="1:6" x14ac:dyDescent="0.25">
      <c r="A243" t="s">
        <v>878</v>
      </c>
      <c r="B243" t="s">
        <v>884</v>
      </c>
      <c r="C243" s="17">
        <v>44569</v>
      </c>
      <c r="D243" s="20">
        <v>0.48282407407407402</v>
      </c>
      <c r="E243" t="s">
        <v>721</v>
      </c>
      <c r="F243" t="s">
        <v>754</v>
      </c>
    </row>
    <row r="244" spans="1:6" x14ac:dyDescent="0.25">
      <c r="A244" t="s">
        <v>876</v>
      </c>
      <c r="B244" t="s">
        <v>35</v>
      </c>
      <c r="C244" s="17">
        <v>44569</v>
      </c>
      <c r="D244" s="20" t="s">
        <v>1492</v>
      </c>
      <c r="E244" t="s">
        <v>877</v>
      </c>
      <c r="F244" t="s">
        <v>754</v>
      </c>
    </row>
    <row r="245" spans="1:6" x14ac:dyDescent="0.25">
      <c r="A245" t="s">
        <v>878</v>
      </c>
      <c r="B245" t="s">
        <v>884</v>
      </c>
      <c r="C245" s="17">
        <v>44569</v>
      </c>
      <c r="D245" s="20">
        <v>0.55695601851851895</v>
      </c>
      <c r="E245" t="s">
        <v>721</v>
      </c>
      <c r="F245" t="s">
        <v>754</v>
      </c>
    </row>
    <row r="246" spans="1:6" x14ac:dyDescent="0.25">
      <c r="A246" t="s">
        <v>876</v>
      </c>
      <c r="B246" t="s">
        <v>35</v>
      </c>
      <c r="C246" s="17">
        <v>44600</v>
      </c>
      <c r="D246" s="20" t="s">
        <v>855</v>
      </c>
      <c r="E246" t="s">
        <v>877</v>
      </c>
      <c r="F246" t="s">
        <v>754</v>
      </c>
    </row>
    <row r="247" spans="1:6" x14ac:dyDescent="0.25">
      <c r="A247" t="s">
        <v>878</v>
      </c>
      <c r="B247" t="s">
        <v>884</v>
      </c>
      <c r="C247" s="17">
        <v>44600</v>
      </c>
      <c r="D247" s="20">
        <v>0.45659722222222199</v>
      </c>
      <c r="E247" t="s">
        <v>721</v>
      </c>
      <c r="F247" t="s">
        <v>754</v>
      </c>
    </row>
    <row r="248" spans="1:6" x14ac:dyDescent="0.25">
      <c r="A248" t="s">
        <v>876</v>
      </c>
      <c r="B248" t="s">
        <v>35</v>
      </c>
      <c r="C248" s="17">
        <v>44600</v>
      </c>
      <c r="D248" s="20" t="s">
        <v>856</v>
      </c>
      <c r="E248" t="s">
        <v>877</v>
      </c>
      <c r="F248" t="s">
        <v>754</v>
      </c>
    </row>
    <row r="249" spans="1:6" x14ac:dyDescent="0.25">
      <c r="A249" t="s">
        <v>878</v>
      </c>
      <c r="B249" t="s">
        <v>884</v>
      </c>
      <c r="C249" s="17">
        <v>44600</v>
      </c>
      <c r="D249" s="20">
        <v>0.63885416666666694</v>
      </c>
      <c r="E249" t="s">
        <v>721</v>
      </c>
      <c r="F249" t="s">
        <v>754</v>
      </c>
    </row>
    <row r="250" spans="1:6" x14ac:dyDescent="0.25">
      <c r="A250" t="s">
        <v>876</v>
      </c>
      <c r="B250" t="s">
        <v>35</v>
      </c>
      <c r="C250" s="17">
        <v>44628</v>
      </c>
      <c r="D250" s="20" t="s">
        <v>1302</v>
      </c>
      <c r="E250" t="s">
        <v>877</v>
      </c>
      <c r="F250" t="s">
        <v>754</v>
      </c>
    </row>
    <row r="251" spans="1:6" x14ac:dyDescent="0.25">
      <c r="A251" t="s">
        <v>878</v>
      </c>
      <c r="B251" t="s">
        <v>884</v>
      </c>
      <c r="C251" s="17">
        <v>44628</v>
      </c>
      <c r="D251" s="20">
        <v>0.72636574074074101</v>
      </c>
      <c r="E251" t="s">
        <v>902</v>
      </c>
      <c r="F251" t="s">
        <v>754</v>
      </c>
    </row>
    <row r="252" spans="1:6" x14ac:dyDescent="0.25">
      <c r="A252" t="s">
        <v>876</v>
      </c>
      <c r="B252" t="s">
        <v>35</v>
      </c>
      <c r="C252" s="17">
        <v>44659</v>
      </c>
      <c r="D252" s="20" t="s">
        <v>962</v>
      </c>
      <c r="E252" t="s">
        <v>877</v>
      </c>
      <c r="F252" t="s">
        <v>754</v>
      </c>
    </row>
    <row r="253" spans="1:6" x14ac:dyDescent="0.25">
      <c r="A253" t="s">
        <v>878</v>
      </c>
      <c r="B253" t="s">
        <v>884</v>
      </c>
      <c r="C253" s="17">
        <v>44659</v>
      </c>
      <c r="D253" s="20">
        <v>0.78421296296296295</v>
      </c>
      <c r="E253" t="s">
        <v>721</v>
      </c>
      <c r="F253" t="s">
        <v>754</v>
      </c>
    </row>
    <row r="254" spans="1:6" x14ac:dyDescent="0.25">
      <c r="A254" t="s">
        <v>876</v>
      </c>
      <c r="B254" t="s">
        <v>35</v>
      </c>
      <c r="C254" s="17">
        <v>44659</v>
      </c>
      <c r="D254" s="20" t="s">
        <v>963</v>
      </c>
      <c r="E254" t="s">
        <v>877</v>
      </c>
      <c r="F254" t="s">
        <v>754</v>
      </c>
    </row>
    <row r="255" spans="1:6" x14ac:dyDescent="0.25">
      <c r="A255" t="s">
        <v>878</v>
      </c>
      <c r="B255" t="s">
        <v>884</v>
      </c>
      <c r="C255" s="17">
        <v>44659</v>
      </c>
      <c r="D255" s="20">
        <v>0.88678240740740699</v>
      </c>
      <c r="E255" t="s">
        <v>721</v>
      </c>
      <c r="F255" t="s">
        <v>754</v>
      </c>
    </row>
    <row r="256" spans="1:6" x14ac:dyDescent="0.25">
      <c r="A256" t="s">
        <v>876</v>
      </c>
      <c r="B256" t="s">
        <v>35</v>
      </c>
      <c r="C256" s="17">
        <v>44659</v>
      </c>
      <c r="D256" s="20" t="s">
        <v>964</v>
      </c>
      <c r="E256" t="s">
        <v>877</v>
      </c>
      <c r="F256" t="s">
        <v>754</v>
      </c>
    </row>
    <row r="257" spans="1:6" x14ac:dyDescent="0.25">
      <c r="A257" t="s">
        <v>878</v>
      </c>
      <c r="B257" t="s">
        <v>884</v>
      </c>
      <c r="C257" s="17">
        <v>44659</v>
      </c>
      <c r="D257" s="20">
        <v>0.96261574074074097</v>
      </c>
      <c r="E257" t="s">
        <v>721</v>
      </c>
      <c r="F257" t="s">
        <v>754</v>
      </c>
    </row>
    <row r="258" spans="1:6" x14ac:dyDescent="0.25">
      <c r="A258" t="s">
        <v>876</v>
      </c>
      <c r="B258" t="s">
        <v>39</v>
      </c>
      <c r="C258" s="17">
        <v>44569</v>
      </c>
      <c r="D258" s="20" t="s">
        <v>1493</v>
      </c>
      <c r="E258" t="s">
        <v>877</v>
      </c>
      <c r="F258" t="s">
        <v>754</v>
      </c>
    </row>
    <row r="259" spans="1:6" x14ac:dyDescent="0.25">
      <c r="A259" t="s">
        <v>878</v>
      </c>
      <c r="B259" t="s">
        <v>885</v>
      </c>
      <c r="C259" s="17">
        <v>44569</v>
      </c>
      <c r="D259" s="20">
        <v>0.38050925925925899</v>
      </c>
      <c r="E259" t="s">
        <v>1465</v>
      </c>
      <c r="F259" t="s">
        <v>754</v>
      </c>
    </row>
    <row r="260" spans="1:6" x14ac:dyDescent="0.25">
      <c r="A260" t="s">
        <v>876</v>
      </c>
      <c r="B260" t="s">
        <v>39</v>
      </c>
      <c r="C260" s="17">
        <v>44569</v>
      </c>
      <c r="D260" s="20" t="s">
        <v>1494</v>
      </c>
      <c r="E260" t="s">
        <v>877</v>
      </c>
      <c r="F260" t="s">
        <v>754</v>
      </c>
    </row>
    <row r="261" spans="1:6" x14ac:dyDescent="0.25">
      <c r="A261" t="s">
        <v>878</v>
      </c>
      <c r="B261" t="s">
        <v>885</v>
      </c>
      <c r="C261" s="17">
        <v>44569</v>
      </c>
      <c r="D261" s="20">
        <v>0.79261574074074104</v>
      </c>
      <c r="E261" t="s">
        <v>1280</v>
      </c>
      <c r="F261" t="s">
        <v>754</v>
      </c>
    </row>
    <row r="262" spans="1:6" x14ac:dyDescent="0.25">
      <c r="A262" t="s">
        <v>876</v>
      </c>
      <c r="B262" t="s">
        <v>39</v>
      </c>
      <c r="C262" s="17">
        <v>44600</v>
      </c>
      <c r="D262" s="20" t="s">
        <v>857</v>
      </c>
      <c r="E262" t="s">
        <v>877</v>
      </c>
      <c r="F262" t="s">
        <v>754</v>
      </c>
    </row>
    <row r="263" spans="1:6" x14ac:dyDescent="0.25">
      <c r="A263" t="s">
        <v>878</v>
      </c>
      <c r="B263" t="s">
        <v>885</v>
      </c>
      <c r="C263" s="17">
        <v>44600</v>
      </c>
      <c r="D263" s="20">
        <v>0.56498842592592602</v>
      </c>
      <c r="E263" t="s">
        <v>723</v>
      </c>
      <c r="F263" t="s">
        <v>754</v>
      </c>
    </row>
    <row r="264" spans="1:6" x14ac:dyDescent="0.25">
      <c r="A264" t="s">
        <v>876</v>
      </c>
      <c r="B264" t="s">
        <v>39</v>
      </c>
      <c r="C264" s="17">
        <v>44628</v>
      </c>
      <c r="D264" s="20" t="s">
        <v>1303</v>
      </c>
      <c r="E264" t="s">
        <v>877</v>
      </c>
      <c r="F264" t="s">
        <v>754</v>
      </c>
    </row>
    <row r="265" spans="1:6" x14ac:dyDescent="0.25">
      <c r="A265" t="s">
        <v>878</v>
      </c>
      <c r="B265" t="s">
        <v>885</v>
      </c>
      <c r="C265" s="17">
        <v>44628</v>
      </c>
      <c r="D265" s="20">
        <v>0.55650462962962999</v>
      </c>
      <c r="E265" t="s">
        <v>723</v>
      </c>
      <c r="F265" t="s">
        <v>754</v>
      </c>
    </row>
    <row r="266" spans="1:6" x14ac:dyDescent="0.25">
      <c r="A266" t="s">
        <v>876</v>
      </c>
      <c r="B266" t="s">
        <v>39</v>
      </c>
      <c r="C266" s="17">
        <v>44628</v>
      </c>
      <c r="D266" s="20" t="s">
        <v>1304</v>
      </c>
      <c r="E266" t="s">
        <v>877</v>
      </c>
      <c r="F266" t="s">
        <v>754</v>
      </c>
    </row>
    <row r="267" spans="1:6" x14ac:dyDescent="0.25">
      <c r="A267" t="s">
        <v>878</v>
      </c>
      <c r="B267" t="s">
        <v>885</v>
      </c>
      <c r="C267" s="17">
        <v>44628</v>
      </c>
      <c r="D267" s="20">
        <v>0.90107638888888897</v>
      </c>
      <c r="E267" t="s">
        <v>1280</v>
      </c>
      <c r="F267" t="s">
        <v>754</v>
      </c>
    </row>
    <row r="268" spans="1:6" x14ac:dyDescent="0.25">
      <c r="A268" t="s">
        <v>876</v>
      </c>
      <c r="B268" t="s">
        <v>39</v>
      </c>
      <c r="C268" s="17">
        <v>44659</v>
      </c>
      <c r="D268" s="20" t="s">
        <v>965</v>
      </c>
      <c r="E268" t="s">
        <v>877</v>
      </c>
      <c r="F268" t="s">
        <v>754</v>
      </c>
    </row>
    <row r="269" spans="1:6" x14ac:dyDescent="0.25">
      <c r="A269" t="s">
        <v>878</v>
      </c>
      <c r="B269" t="s">
        <v>885</v>
      </c>
      <c r="C269" s="17">
        <v>44659</v>
      </c>
      <c r="D269" s="20">
        <v>0.444583333333333</v>
      </c>
      <c r="E269" t="s">
        <v>723</v>
      </c>
      <c r="F269" t="s">
        <v>754</v>
      </c>
    </row>
    <row r="270" spans="1:6" x14ac:dyDescent="0.25">
      <c r="A270" t="s">
        <v>876</v>
      </c>
      <c r="B270" t="s">
        <v>39</v>
      </c>
      <c r="C270" s="17">
        <v>44659</v>
      </c>
      <c r="D270" s="20" t="s">
        <v>966</v>
      </c>
      <c r="E270" t="s">
        <v>877</v>
      </c>
      <c r="F270" t="s">
        <v>754</v>
      </c>
    </row>
    <row r="271" spans="1:6" x14ac:dyDescent="0.25">
      <c r="A271" t="s">
        <v>878</v>
      </c>
      <c r="B271" t="s">
        <v>885</v>
      </c>
      <c r="C271" s="17">
        <v>44659</v>
      </c>
      <c r="D271" s="20">
        <v>0.54401620370370396</v>
      </c>
      <c r="E271" t="s">
        <v>723</v>
      </c>
      <c r="F271" t="s">
        <v>754</v>
      </c>
    </row>
    <row r="272" spans="1:6" x14ac:dyDescent="0.25">
      <c r="A272" t="s">
        <v>876</v>
      </c>
      <c r="B272" t="s">
        <v>39</v>
      </c>
      <c r="C272" s="17">
        <v>44659</v>
      </c>
      <c r="D272" s="20" t="s">
        <v>967</v>
      </c>
      <c r="E272" t="s">
        <v>877</v>
      </c>
      <c r="F272" t="s">
        <v>754</v>
      </c>
    </row>
    <row r="273" spans="1:6" x14ac:dyDescent="0.25">
      <c r="A273" t="s">
        <v>878</v>
      </c>
      <c r="B273" t="s">
        <v>885</v>
      </c>
      <c r="C273" s="17">
        <v>44659</v>
      </c>
      <c r="D273" s="20">
        <v>0.64944444444444405</v>
      </c>
      <c r="E273" t="s">
        <v>723</v>
      </c>
      <c r="F273" t="s">
        <v>754</v>
      </c>
    </row>
    <row r="274" spans="1:6" x14ac:dyDescent="0.25">
      <c r="A274" t="s">
        <v>876</v>
      </c>
      <c r="B274" t="s">
        <v>39</v>
      </c>
      <c r="C274" s="17">
        <v>44659</v>
      </c>
      <c r="D274" s="20" t="s">
        <v>968</v>
      </c>
      <c r="E274" t="s">
        <v>877</v>
      </c>
      <c r="F274" t="s">
        <v>754</v>
      </c>
    </row>
    <row r="275" spans="1:6" x14ac:dyDescent="0.25">
      <c r="A275" t="s">
        <v>878</v>
      </c>
      <c r="B275" t="s">
        <v>885</v>
      </c>
      <c r="C275" s="17">
        <v>44659</v>
      </c>
      <c r="D275" s="20">
        <v>0.83182870370370399</v>
      </c>
      <c r="E275" t="s">
        <v>722</v>
      </c>
      <c r="F275" t="s">
        <v>754</v>
      </c>
    </row>
    <row r="276" spans="1:6" x14ac:dyDescent="0.25">
      <c r="A276" t="s">
        <v>876</v>
      </c>
      <c r="B276" t="s">
        <v>39</v>
      </c>
      <c r="C276" s="17">
        <v>44659</v>
      </c>
      <c r="D276" s="20" t="s">
        <v>969</v>
      </c>
      <c r="E276" t="s">
        <v>877</v>
      </c>
      <c r="F276" t="s">
        <v>754</v>
      </c>
    </row>
    <row r="277" spans="1:6" x14ac:dyDescent="0.25">
      <c r="A277" t="s">
        <v>878</v>
      </c>
      <c r="B277" t="s">
        <v>885</v>
      </c>
      <c r="C277" s="17">
        <v>44659</v>
      </c>
      <c r="D277" s="20">
        <v>0.83656249999999999</v>
      </c>
      <c r="E277" t="s">
        <v>722</v>
      </c>
      <c r="F277" t="s">
        <v>754</v>
      </c>
    </row>
    <row r="278" spans="1:6" x14ac:dyDescent="0.25">
      <c r="A278" t="s">
        <v>876</v>
      </c>
      <c r="B278" t="s">
        <v>39</v>
      </c>
      <c r="C278" s="17">
        <v>44659</v>
      </c>
      <c r="D278" s="20" t="s">
        <v>970</v>
      </c>
      <c r="E278" t="s">
        <v>877</v>
      </c>
      <c r="F278" t="s">
        <v>754</v>
      </c>
    </row>
    <row r="279" spans="1:6" x14ac:dyDescent="0.25">
      <c r="A279" t="s">
        <v>878</v>
      </c>
      <c r="B279" t="s">
        <v>885</v>
      </c>
      <c r="C279" s="17">
        <v>44659</v>
      </c>
      <c r="D279" s="20">
        <v>0.95086805555555598</v>
      </c>
      <c r="E279" t="s">
        <v>722</v>
      </c>
      <c r="F279" t="s">
        <v>754</v>
      </c>
    </row>
    <row r="280" spans="1:6" x14ac:dyDescent="0.25">
      <c r="A280" t="s">
        <v>876</v>
      </c>
      <c r="B280" t="s">
        <v>36</v>
      </c>
      <c r="C280" s="17">
        <v>44569</v>
      </c>
      <c r="D280" s="20" t="s">
        <v>1495</v>
      </c>
      <c r="E280" t="s">
        <v>877</v>
      </c>
      <c r="F280" t="s">
        <v>754</v>
      </c>
    </row>
    <row r="281" spans="1:6" x14ac:dyDescent="0.25">
      <c r="A281" t="s">
        <v>878</v>
      </c>
      <c r="B281" t="s">
        <v>886</v>
      </c>
      <c r="C281" s="17">
        <v>44569</v>
      </c>
      <c r="D281" s="20">
        <v>0.49528935185185202</v>
      </c>
      <c r="E281" t="s">
        <v>724</v>
      </c>
      <c r="F281" t="s">
        <v>754</v>
      </c>
    </row>
    <row r="282" spans="1:6" x14ac:dyDescent="0.25">
      <c r="A282" t="s">
        <v>876</v>
      </c>
      <c r="B282" t="s">
        <v>36</v>
      </c>
      <c r="C282" s="17">
        <v>44569</v>
      </c>
      <c r="D282" s="20" t="s">
        <v>1496</v>
      </c>
      <c r="E282" t="s">
        <v>877</v>
      </c>
      <c r="F282" t="s">
        <v>754</v>
      </c>
    </row>
    <row r="283" spans="1:6" x14ac:dyDescent="0.25">
      <c r="A283" t="s">
        <v>878</v>
      </c>
      <c r="B283" t="s">
        <v>886</v>
      </c>
      <c r="C283" s="17">
        <v>44569</v>
      </c>
      <c r="D283" s="20">
        <v>0.58893518518518495</v>
      </c>
      <c r="E283" t="s">
        <v>724</v>
      </c>
      <c r="F283" t="s">
        <v>754</v>
      </c>
    </row>
    <row r="284" spans="1:6" x14ac:dyDescent="0.25">
      <c r="A284" t="s">
        <v>876</v>
      </c>
      <c r="B284" t="s">
        <v>36</v>
      </c>
      <c r="C284" s="17">
        <v>44600</v>
      </c>
      <c r="D284" s="20" t="s">
        <v>858</v>
      </c>
      <c r="E284" t="s">
        <v>877</v>
      </c>
      <c r="F284" t="s">
        <v>754</v>
      </c>
    </row>
    <row r="285" spans="1:6" x14ac:dyDescent="0.25">
      <c r="A285" t="s">
        <v>878</v>
      </c>
      <c r="B285" t="s">
        <v>886</v>
      </c>
      <c r="C285" s="17">
        <v>44600</v>
      </c>
      <c r="D285" s="20">
        <v>0.47613425925925901</v>
      </c>
      <c r="E285" t="s">
        <v>724</v>
      </c>
      <c r="F285" t="s">
        <v>754</v>
      </c>
    </row>
    <row r="286" spans="1:6" x14ac:dyDescent="0.25">
      <c r="A286" t="s">
        <v>876</v>
      </c>
      <c r="B286" t="s">
        <v>36</v>
      </c>
      <c r="C286" s="17">
        <v>44600</v>
      </c>
      <c r="D286" s="20" t="s">
        <v>859</v>
      </c>
      <c r="E286" t="s">
        <v>877</v>
      </c>
      <c r="F286" t="s">
        <v>754</v>
      </c>
    </row>
    <row r="287" spans="1:6" x14ac:dyDescent="0.25">
      <c r="A287" t="s">
        <v>878</v>
      </c>
      <c r="B287" t="s">
        <v>886</v>
      </c>
      <c r="C287" s="17">
        <v>44600</v>
      </c>
      <c r="D287" s="20">
        <v>0.75775462962963003</v>
      </c>
      <c r="E287" t="s">
        <v>724</v>
      </c>
      <c r="F287" t="s">
        <v>754</v>
      </c>
    </row>
    <row r="288" spans="1:6" x14ac:dyDescent="0.25">
      <c r="A288" t="s">
        <v>876</v>
      </c>
      <c r="B288" t="s">
        <v>36</v>
      </c>
      <c r="C288" s="17">
        <v>44600</v>
      </c>
      <c r="D288" s="20" t="s">
        <v>860</v>
      </c>
      <c r="E288" t="s">
        <v>877</v>
      </c>
      <c r="F288" t="s">
        <v>754</v>
      </c>
    </row>
    <row r="289" spans="1:6" x14ac:dyDescent="0.25">
      <c r="A289" t="s">
        <v>878</v>
      </c>
      <c r="B289" t="s">
        <v>886</v>
      </c>
      <c r="C289" s="17">
        <v>44600</v>
      </c>
      <c r="D289" s="20">
        <v>0.81087962962963001</v>
      </c>
      <c r="E289" t="s">
        <v>725</v>
      </c>
      <c r="F289" t="s">
        <v>754</v>
      </c>
    </row>
    <row r="290" spans="1:6" x14ac:dyDescent="0.25">
      <c r="A290" t="s">
        <v>876</v>
      </c>
      <c r="B290" t="s">
        <v>36</v>
      </c>
      <c r="C290" s="17">
        <v>44628</v>
      </c>
      <c r="D290" s="20" t="s">
        <v>1305</v>
      </c>
      <c r="E290" t="s">
        <v>877</v>
      </c>
      <c r="F290" t="s">
        <v>754</v>
      </c>
    </row>
    <row r="291" spans="1:6" x14ac:dyDescent="0.25">
      <c r="A291" t="s">
        <v>878</v>
      </c>
      <c r="B291" t="s">
        <v>886</v>
      </c>
      <c r="C291" s="17">
        <v>44628</v>
      </c>
      <c r="D291" s="20">
        <v>0.37593749999999998</v>
      </c>
      <c r="E291" t="s">
        <v>724</v>
      </c>
      <c r="F291" t="s">
        <v>754</v>
      </c>
    </row>
    <row r="292" spans="1:6" x14ac:dyDescent="0.25">
      <c r="A292" t="s">
        <v>876</v>
      </c>
      <c r="B292" t="s">
        <v>36</v>
      </c>
      <c r="C292" s="17">
        <v>44628</v>
      </c>
      <c r="D292" s="20" t="s">
        <v>1306</v>
      </c>
      <c r="E292" t="s">
        <v>877</v>
      </c>
      <c r="F292" t="s">
        <v>754</v>
      </c>
    </row>
    <row r="293" spans="1:6" x14ac:dyDescent="0.25">
      <c r="A293" t="s">
        <v>878</v>
      </c>
      <c r="B293" t="s">
        <v>886</v>
      </c>
      <c r="C293" s="17">
        <v>44628</v>
      </c>
      <c r="D293" s="20">
        <v>0.44135416666666699</v>
      </c>
      <c r="E293" t="s">
        <v>724</v>
      </c>
      <c r="F293" t="s">
        <v>754</v>
      </c>
    </row>
    <row r="294" spans="1:6" x14ac:dyDescent="0.25">
      <c r="A294" t="s">
        <v>876</v>
      </c>
      <c r="B294" t="s">
        <v>36</v>
      </c>
      <c r="C294" s="17">
        <v>44628</v>
      </c>
      <c r="D294" s="20" t="s">
        <v>1307</v>
      </c>
      <c r="E294" t="s">
        <v>877</v>
      </c>
      <c r="F294" t="s">
        <v>754</v>
      </c>
    </row>
    <row r="295" spans="1:6" x14ac:dyDescent="0.25">
      <c r="A295" t="s">
        <v>878</v>
      </c>
      <c r="B295" t="s">
        <v>886</v>
      </c>
      <c r="C295" s="17">
        <v>44628</v>
      </c>
      <c r="D295" s="20">
        <v>0.49901620370370398</v>
      </c>
      <c r="E295" t="s">
        <v>724</v>
      </c>
      <c r="F295" t="s">
        <v>754</v>
      </c>
    </row>
    <row r="296" spans="1:6" x14ac:dyDescent="0.25">
      <c r="A296" t="s">
        <v>876</v>
      </c>
      <c r="B296" t="s">
        <v>36</v>
      </c>
      <c r="C296" s="17">
        <v>44628</v>
      </c>
      <c r="D296" s="20" t="s">
        <v>1308</v>
      </c>
      <c r="E296" t="s">
        <v>877</v>
      </c>
      <c r="F296" t="s">
        <v>754</v>
      </c>
    </row>
    <row r="297" spans="1:6" x14ac:dyDescent="0.25">
      <c r="A297" t="s">
        <v>878</v>
      </c>
      <c r="B297" t="s">
        <v>886</v>
      </c>
      <c r="C297" s="17">
        <v>44628</v>
      </c>
      <c r="D297" s="20">
        <v>0.59203703703703703</v>
      </c>
      <c r="E297" t="s">
        <v>724</v>
      </c>
      <c r="F297" t="s">
        <v>754</v>
      </c>
    </row>
    <row r="298" spans="1:6" x14ac:dyDescent="0.25">
      <c r="A298" t="s">
        <v>876</v>
      </c>
      <c r="B298" t="s">
        <v>36</v>
      </c>
      <c r="C298" s="17">
        <v>44628</v>
      </c>
      <c r="D298" s="20" t="s">
        <v>1309</v>
      </c>
      <c r="E298" t="s">
        <v>877</v>
      </c>
      <c r="F298" t="s">
        <v>754</v>
      </c>
    </row>
    <row r="299" spans="1:6" x14ac:dyDescent="0.25">
      <c r="A299" t="s">
        <v>878</v>
      </c>
      <c r="B299" t="s">
        <v>886</v>
      </c>
      <c r="C299" s="17">
        <v>44628</v>
      </c>
      <c r="D299" s="20">
        <v>0.63268518518518502</v>
      </c>
      <c r="E299" t="s">
        <v>724</v>
      </c>
      <c r="F299" t="s">
        <v>754</v>
      </c>
    </row>
    <row r="300" spans="1:6" x14ac:dyDescent="0.25">
      <c r="A300" t="s">
        <v>876</v>
      </c>
      <c r="B300" t="s">
        <v>36</v>
      </c>
      <c r="C300" s="17">
        <v>44659</v>
      </c>
      <c r="D300" s="20" t="s">
        <v>971</v>
      </c>
      <c r="E300" t="s">
        <v>877</v>
      </c>
      <c r="F300" t="s">
        <v>754</v>
      </c>
    </row>
    <row r="301" spans="1:6" x14ac:dyDescent="0.25">
      <c r="A301" t="s">
        <v>878</v>
      </c>
      <c r="B301" t="s">
        <v>886</v>
      </c>
      <c r="C301" s="17">
        <v>44659</v>
      </c>
      <c r="D301" s="20">
        <v>0.43626157407407401</v>
      </c>
      <c r="E301" t="s">
        <v>724</v>
      </c>
      <c r="F301" t="s">
        <v>754</v>
      </c>
    </row>
    <row r="302" spans="1:6" x14ac:dyDescent="0.25">
      <c r="A302" t="s">
        <v>876</v>
      </c>
      <c r="B302" t="s">
        <v>36</v>
      </c>
      <c r="C302" s="17">
        <v>44659</v>
      </c>
      <c r="D302" s="20" t="s">
        <v>972</v>
      </c>
      <c r="E302" t="s">
        <v>877</v>
      </c>
      <c r="F302" t="s">
        <v>754</v>
      </c>
    </row>
    <row r="303" spans="1:6" x14ac:dyDescent="0.25">
      <c r="A303" t="s">
        <v>878</v>
      </c>
      <c r="B303" t="s">
        <v>886</v>
      </c>
      <c r="C303" s="17">
        <v>44659</v>
      </c>
      <c r="D303" s="20">
        <v>0.459780092592593</v>
      </c>
      <c r="E303" t="s">
        <v>724</v>
      </c>
      <c r="F303" t="s">
        <v>754</v>
      </c>
    </row>
    <row r="304" spans="1:6" x14ac:dyDescent="0.25">
      <c r="A304" t="s">
        <v>876</v>
      </c>
      <c r="B304" t="s">
        <v>36</v>
      </c>
      <c r="C304" s="17">
        <v>44659</v>
      </c>
      <c r="D304" s="20" t="s">
        <v>973</v>
      </c>
      <c r="E304" t="s">
        <v>877</v>
      </c>
      <c r="F304" t="s">
        <v>754</v>
      </c>
    </row>
    <row r="305" spans="1:6" x14ac:dyDescent="0.25">
      <c r="A305" t="s">
        <v>878</v>
      </c>
      <c r="B305" t="s">
        <v>886</v>
      </c>
      <c r="C305" s="17">
        <v>44659</v>
      </c>
      <c r="D305" s="20">
        <v>0.47319444444444397</v>
      </c>
      <c r="E305" t="s">
        <v>724</v>
      </c>
      <c r="F305" t="s">
        <v>754</v>
      </c>
    </row>
    <row r="306" spans="1:6" x14ac:dyDescent="0.25">
      <c r="A306" t="s">
        <v>876</v>
      </c>
      <c r="B306" t="s">
        <v>36</v>
      </c>
      <c r="C306" s="17">
        <v>44659</v>
      </c>
      <c r="D306" s="20" t="s">
        <v>974</v>
      </c>
      <c r="E306" t="s">
        <v>877</v>
      </c>
      <c r="F306" t="s">
        <v>754</v>
      </c>
    </row>
    <row r="307" spans="1:6" x14ac:dyDescent="0.25">
      <c r="A307" t="s">
        <v>878</v>
      </c>
      <c r="B307" t="s">
        <v>886</v>
      </c>
      <c r="C307" s="17">
        <v>44659</v>
      </c>
      <c r="D307" s="20">
        <v>0.54709490740740696</v>
      </c>
      <c r="E307" t="s">
        <v>724</v>
      </c>
      <c r="F307" t="s">
        <v>754</v>
      </c>
    </row>
    <row r="308" spans="1:6" x14ac:dyDescent="0.25">
      <c r="A308" t="s">
        <v>876</v>
      </c>
      <c r="B308" t="s">
        <v>36</v>
      </c>
      <c r="C308" s="17">
        <v>44659</v>
      </c>
      <c r="D308" s="20" t="s">
        <v>975</v>
      </c>
      <c r="E308" t="s">
        <v>877</v>
      </c>
      <c r="F308" t="s">
        <v>754</v>
      </c>
    </row>
    <row r="309" spans="1:6" x14ac:dyDescent="0.25">
      <c r="A309" t="s">
        <v>878</v>
      </c>
      <c r="B309" t="s">
        <v>886</v>
      </c>
      <c r="C309" s="17">
        <v>44659</v>
      </c>
      <c r="D309" s="20">
        <v>0.66918981481481499</v>
      </c>
      <c r="E309" t="s">
        <v>724</v>
      </c>
      <c r="F309" t="s">
        <v>754</v>
      </c>
    </row>
    <row r="310" spans="1:6" x14ac:dyDescent="0.25">
      <c r="A310" t="s">
        <v>876</v>
      </c>
      <c r="B310" t="s">
        <v>36</v>
      </c>
      <c r="C310" s="17">
        <v>44659</v>
      </c>
      <c r="D310" s="20" t="s">
        <v>976</v>
      </c>
      <c r="E310" t="s">
        <v>877</v>
      </c>
      <c r="F310" t="s">
        <v>754</v>
      </c>
    </row>
    <row r="311" spans="1:6" x14ac:dyDescent="0.25">
      <c r="A311" t="s">
        <v>878</v>
      </c>
      <c r="B311" t="s">
        <v>886</v>
      </c>
      <c r="C311" s="17">
        <v>44659</v>
      </c>
      <c r="D311" s="20">
        <v>0.73469907407407398</v>
      </c>
      <c r="E311" t="s">
        <v>724</v>
      </c>
      <c r="F311" t="s">
        <v>754</v>
      </c>
    </row>
    <row r="312" spans="1:6" x14ac:dyDescent="0.25">
      <c r="A312" t="s">
        <v>876</v>
      </c>
      <c r="B312" t="s">
        <v>36</v>
      </c>
      <c r="C312" s="17">
        <v>44659</v>
      </c>
      <c r="D312" s="20" t="s">
        <v>977</v>
      </c>
      <c r="E312" t="s">
        <v>877</v>
      </c>
      <c r="F312" t="s">
        <v>754</v>
      </c>
    </row>
    <row r="313" spans="1:6" x14ac:dyDescent="0.25">
      <c r="A313" t="s">
        <v>878</v>
      </c>
      <c r="B313" t="s">
        <v>886</v>
      </c>
      <c r="C313" s="17">
        <v>44659</v>
      </c>
      <c r="D313" s="20">
        <v>0.74483796296296301</v>
      </c>
      <c r="E313" t="s">
        <v>724</v>
      </c>
      <c r="F313" t="s">
        <v>754</v>
      </c>
    </row>
    <row r="314" spans="1:6" x14ac:dyDescent="0.25">
      <c r="A314" t="s">
        <v>876</v>
      </c>
      <c r="B314" t="s">
        <v>36</v>
      </c>
      <c r="C314" s="17">
        <v>44659</v>
      </c>
      <c r="D314" s="20" t="s">
        <v>978</v>
      </c>
      <c r="E314" t="s">
        <v>877</v>
      </c>
      <c r="F314" t="s">
        <v>754</v>
      </c>
    </row>
    <row r="315" spans="1:6" x14ac:dyDescent="0.25">
      <c r="A315" t="s">
        <v>878</v>
      </c>
      <c r="B315" t="s">
        <v>886</v>
      </c>
      <c r="C315" s="17">
        <v>44659</v>
      </c>
      <c r="D315" s="20">
        <v>0.74747685185185198</v>
      </c>
      <c r="E315" t="s">
        <v>724</v>
      </c>
      <c r="F315" t="s">
        <v>754</v>
      </c>
    </row>
    <row r="316" spans="1:6" x14ac:dyDescent="0.25">
      <c r="A316" t="s">
        <v>876</v>
      </c>
      <c r="B316" t="s">
        <v>36</v>
      </c>
      <c r="C316" s="17">
        <v>44659</v>
      </c>
      <c r="D316" s="20" t="s">
        <v>979</v>
      </c>
      <c r="E316" t="s">
        <v>877</v>
      </c>
      <c r="F316" t="s">
        <v>754</v>
      </c>
    </row>
    <row r="317" spans="1:6" x14ac:dyDescent="0.25">
      <c r="A317" t="s">
        <v>878</v>
      </c>
      <c r="B317" t="s">
        <v>886</v>
      </c>
      <c r="C317" s="17">
        <v>44659</v>
      </c>
      <c r="D317" s="20">
        <v>0.75033564814814802</v>
      </c>
      <c r="E317" t="s">
        <v>724</v>
      </c>
      <c r="F317" t="s">
        <v>754</v>
      </c>
    </row>
    <row r="318" spans="1:6" x14ac:dyDescent="0.25">
      <c r="A318" t="s">
        <v>876</v>
      </c>
      <c r="B318" t="s">
        <v>36</v>
      </c>
      <c r="C318" s="17">
        <v>44659</v>
      </c>
      <c r="D318" s="20" t="s">
        <v>980</v>
      </c>
      <c r="E318" t="s">
        <v>877</v>
      </c>
      <c r="F318" t="s">
        <v>754</v>
      </c>
    </row>
    <row r="319" spans="1:6" x14ac:dyDescent="0.25">
      <c r="A319" t="s">
        <v>878</v>
      </c>
      <c r="B319" t="s">
        <v>886</v>
      </c>
      <c r="C319" s="17">
        <v>44659</v>
      </c>
      <c r="D319" s="20">
        <v>0.76322916666666696</v>
      </c>
      <c r="E319" t="s">
        <v>725</v>
      </c>
      <c r="F319" t="s">
        <v>754</v>
      </c>
    </row>
    <row r="320" spans="1:6" x14ac:dyDescent="0.25">
      <c r="A320" t="s">
        <v>876</v>
      </c>
      <c r="B320" t="s">
        <v>36</v>
      </c>
      <c r="C320" s="17">
        <v>44659</v>
      </c>
      <c r="D320" s="20" t="s">
        <v>981</v>
      </c>
      <c r="E320" t="s">
        <v>877</v>
      </c>
      <c r="F320" t="s">
        <v>754</v>
      </c>
    </row>
    <row r="321" spans="1:6" x14ac:dyDescent="0.25">
      <c r="A321" t="s">
        <v>878</v>
      </c>
      <c r="B321" t="s">
        <v>886</v>
      </c>
      <c r="C321" s="17">
        <v>44659</v>
      </c>
      <c r="D321" s="20">
        <v>0.83098379629629604</v>
      </c>
      <c r="E321" t="s">
        <v>725</v>
      </c>
      <c r="F321" t="s">
        <v>754</v>
      </c>
    </row>
    <row r="322" spans="1:6" x14ac:dyDescent="0.25">
      <c r="A322" t="s">
        <v>876</v>
      </c>
      <c r="B322" t="s">
        <v>36</v>
      </c>
      <c r="C322" s="17">
        <v>44659</v>
      </c>
      <c r="D322" s="20" t="s">
        <v>982</v>
      </c>
      <c r="E322" t="s">
        <v>877</v>
      </c>
      <c r="F322" t="s">
        <v>754</v>
      </c>
    </row>
    <row r="323" spans="1:6" x14ac:dyDescent="0.25">
      <c r="A323" t="s">
        <v>878</v>
      </c>
      <c r="B323" t="s">
        <v>886</v>
      </c>
      <c r="C323" s="17">
        <v>44659</v>
      </c>
      <c r="D323" s="20">
        <v>0.85502314814814795</v>
      </c>
      <c r="E323" t="s">
        <v>725</v>
      </c>
      <c r="F323" t="s">
        <v>754</v>
      </c>
    </row>
    <row r="324" spans="1:6" x14ac:dyDescent="0.25">
      <c r="A324" t="s">
        <v>876</v>
      </c>
      <c r="B324" t="s">
        <v>36</v>
      </c>
      <c r="C324" s="17">
        <v>44659</v>
      </c>
      <c r="D324" s="20" t="s">
        <v>983</v>
      </c>
      <c r="E324" t="s">
        <v>877</v>
      </c>
      <c r="F324" t="s">
        <v>754</v>
      </c>
    </row>
    <row r="325" spans="1:6" x14ac:dyDescent="0.25">
      <c r="A325" t="s">
        <v>878</v>
      </c>
      <c r="B325" t="s">
        <v>886</v>
      </c>
      <c r="C325" s="17">
        <v>44659</v>
      </c>
      <c r="D325" s="20">
        <v>0.87291666666666701</v>
      </c>
      <c r="E325" t="s">
        <v>725</v>
      </c>
      <c r="F325" t="s">
        <v>754</v>
      </c>
    </row>
    <row r="326" spans="1:6" x14ac:dyDescent="0.25">
      <c r="A326" t="s">
        <v>876</v>
      </c>
      <c r="B326" t="s">
        <v>36</v>
      </c>
      <c r="C326" s="17">
        <v>44659</v>
      </c>
      <c r="D326" s="20" t="s">
        <v>984</v>
      </c>
      <c r="E326" t="s">
        <v>877</v>
      </c>
      <c r="F326" t="s">
        <v>754</v>
      </c>
    </row>
    <row r="327" spans="1:6" x14ac:dyDescent="0.25">
      <c r="A327" t="s">
        <v>878</v>
      </c>
      <c r="B327" t="s">
        <v>886</v>
      </c>
      <c r="C327" s="17">
        <v>44659</v>
      </c>
      <c r="D327" s="20">
        <v>0.87570601851851804</v>
      </c>
      <c r="E327" t="s">
        <v>725</v>
      </c>
      <c r="F327" t="s">
        <v>754</v>
      </c>
    </row>
    <row r="328" spans="1:6" x14ac:dyDescent="0.25">
      <c r="A328" t="s">
        <v>876</v>
      </c>
      <c r="B328" t="s">
        <v>36</v>
      </c>
      <c r="C328" s="17">
        <v>44659</v>
      </c>
      <c r="D328" s="20" t="s">
        <v>985</v>
      </c>
      <c r="E328" t="s">
        <v>877</v>
      </c>
      <c r="F328" t="s">
        <v>754</v>
      </c>
    </row>
    <row r="329" spans="1:6" x14ac:dyDescent="0.25">
      <c r="A329" t="s">
        <v>878</v>
      </c>
      <c r="B329" t="s">
        <v>886</v>
      </c>
      <c r="C329" s="17">
        <v>44659</v>
      </c>
      <c r="D329" s="20">
        <v>0.89707175925925897</v>
      </c>
      <c r="E329" t="s">
        <v>725</v>
      </c>
      <c r="F329" t="s">
        <v>754</v>
      </c>
    </row>
    <row r="330" spans="1:6" x14ac:dyDescent="0.25">
      <c r="A330" t="s">
        <v>876</v>
      </c>
      <c r="B330" t="s">
        <v>36</v>
      </c>
      <c r="C330" s="17">
        <v>44659</v>
      </c>
      <c r="D330" s="20" t="s">
        <v>986</v>
      </c>
      <c r="E330" t="s">
        <v>877</v>
      </c>
      <c r="F330" t="s">
        <v>754</v>
      </c>
    </row>
    <row r="331" spans="1:6" x14ac:dyDescent="0.25">
      <c r="A331" t="s">
        <v>878</v>
      </c>
      <c r="B331" t="s">
        <v>886</v>
      </c>
      <c r="C331" s="17">
        <v>44659</v>
      </c>
      <c r="D331" s="20">
        <v>0.90145833333333303</v>
      </c>
      <c r="E331" t="s">
        <v>725</v>
      </c>
      <c r="F331" t="s">
        <v>754</v>
      </c>
    </row>
    <row r="332" spans="1:6" x14ac:dyDescent="0.25">
      <c r="A332" t="s">
        <v>876</v>
      </c>
      <c r="B332" t="s">
        <v>36</v>
      </c>
      <c r="C332" s="17">
        <v>44659</v>
      </c>
      <c r="D332" s="20" t="s">
        <v>987</v>
      </c>
      <c r="E332" t="s">
        <v>877</v>
      </c>
      <c r="F332" t="s">
        <v>754</v>
      </c>
    </row>
    <row r="333" spans="1:6" x14ac:dyDescent="0.25">
      <c r="A333" t="s">
        <v>878</v>
      </c>
      <c r="B333" t="s">
        <v>886</v>
      </c>
      <c r="C333" s="17">
        <v>44659</v>
      </c>
      <c r="D333" s="20">
        <v>0.90726851851851897</v>
      </c>
      <c r="E333" t="s">
        <v>725</v>
      </c>
      <c r="F333" t="s">
        <v>754</v>
      </c>
    </row>
    <row r="334" spans="1:6" x14ac:dyDescent="0.25">
      <c r="A334" t="s">
        <v>876</v>
      </c>
      <c r="B334" t="s">
        <v>36</v>
      </c>
      <c r="C334" s="17">
        <v>44659</v>
      </c>
      <c r="D334" s="20" t="s">
        <v>988</v>
      </c>
      <c r="E334" t="s">
        <v>877</v>
      </c>
      <c r="F334" t="s">
        <v>754</v>
      </c>
    </row>
    <row r="335" spans="1:6" x14ac:dyDescent="0.25">
      <c r="A335" t="s">
        <v>878</v>
      </c>
      <c r="B335" t="s">
        <v>886</v>
      </c>
      <c r="C335" s="17">
        <v>44659</v>
      </c>
      <c r="D335" s="20">
        <v>0.91480324074074104</v>
      </c>
      <c r="E335" t="s">
        <v>725</v>
      </c>
      <c r="F335" t="s">
        <v>754</v>
      </c>
    </row>
    <row r="336" spans="1:6" x14ac:dyDescent="0.25">
      <c r="A336" t="s">
        <v>876</v>
      </c>
      <c r="B336" t="s">
        <v>36</v>
      </c>
      <c r="C336" s="17">
        <v>44659</v>
      </c>
      <c r="D336" s="20" t="s">
        <v>989</v>
      </c>
      <c r="E336" t="s">
        <v>877</v>
      </c>
      <c r="F336" t="s">
        <v>754</v>
      </c>
    </row>
    <row r="337" spans="1:6" x14ac:dyDescent="0.25">
      <c r="A337" t="s">
        <v>878</v>
      </c>
      <c r="B337" t="s">
        <v>886</v>
      </c>
      <c r="C337" s="17">
        <v>44659</v>
      </c>
      <c r="D337" s="20">
        <v>0.955509259259259</v>
      </c>
      <c r="E337" t="s">
        <v>725</v>
      </c>
      <c r="F337" t="s">
        <v>754</v>
      </c>
    </row>
    <row r="338" spans="1:6" x14ac:dyDescent="0.25">
      <c r="A338" t="s">
        <v>876</v>
      </c>
      <c r="B338" t="s">
        <v>36</v>
      </c>
      <c r="C338" s="17">
        <v>44659</v>
      </c>
      <c r="D338" s="20" t="s">
        <v>990</v>
      </c>
      <c r="E338" t="s">
        <v>877</v>
      </c>
      <c r="F338" t="s">
        <v>754</v>
      </c>
    </row>
    <row r="339" spans="1:6" x14ac:dyDescent="0.25">
      <c r="A339" t="s">
        <v>878</v>
      </c>
      <c r="B339" t="s">
        <v>886</v>
      </c>
      <c r="C339" s="17">
        <v>44659</v>
      </c>
      <c r="D339" s="20">
        <v>0.95848379629629599</v>
      </c>
      <c r="E339" t="s">
        <v>725</v>
      </c>
      <c r="F339" t="s">
        <v>754</v>
      </c>
    </row>
    <row r="340" spans="1:6" x14ac:dyDescent="0.25">
      <c r="A340" t="s">
        <v>876</v>
      </c>
      <c r="B340" t="s">
        <v>42</v>
      </c>
      <c r="C340" s="17">
        <v>44569</v>
      </c>
      <c r="D340" s="20" t="s">
        <v>1497</v>
      </c>
      <c r="E340" t="s">
        <v>877</v>
      </c>
      <c r="F340" t="s">
        <v>754</v>
      </c>
    </row>
    <row r="341" spans="1:6" x14ac:dyDescent="0.25">
      <c r="A341" t="s">
        <v>878</v>
      </c>
      <c r="B341" t="s">
        <v>887</v>
      </c>
      <c r="C341" s="17">
        <v>44569</v>
      </c>
      <c r="D341" s="20">
        <v>0.39468750000000002</v>
      </c>
      <c r="E341" t="s">
        <v>726</v>
      </c>
      <c r="F341" t="s">
        <v>754</v>
      </c>
    </row>
    <row r="342" spans="1:6" x14ac:dyDescent="0.25">
      <c r="A342" t="s">
        <v>876</v>
      </c>
      <c r="B342" t="s">
        <v>42</v>
      </c>
      <c r="C342" s="17">
        <v>44569</v>
      </c>
      <c r="D342" s="20" t="s">
        <v>1498</v>
      </c>
      <c r="E342" t="s">
        <v>877</v>
      </c>
      <c r="F342" t="s">
        <v>754</v>
      </c>
    </row>
    <row r="343" spans="1:6" x14ac:dyDescent="0.25">
      <c r="A343" t="s">
        <v>878</v>
      </c>
      <c r="B343" t="s">
        <v>887</v>
      </c>
      <c r="C343" s="17">
        <v>44569</v>
      </c>
      <c r="D343" s="20">
        <v>0.39697916666666699</v>
      </c>
      <c r="E343" t="s">
        <v>726</v>
      </c>
      <c r="F343" t="s">
        <v>754</v>
      </c>
    </row>
    <row r="344" spans="1:6" x14ac:dyDescent="0.25">
      <c r="A344" t="s">
        <v>876</v>
      </c>
      <c r="B344" t="s">
        <v>42</v>
      </c>
      <c r="C344" s="17">
        <v>44569</v>
      </c>
      <c r="D344" s="20" t="s">
        <v>1499</v>
      </c>
      <c r="E344" t="s">
        <v>877</v>
      </c>
      <c r="F344" t="s">
        <v>754</v>
      </c>
    </row>
    <row r="345" spans="1:6" x14ac:dyDescent="0.25">
      <c r="A345" t="s">
        <v>878</v>
      </c>
      <c r="B345" t="s">
        <v>887</v>
      </c>
      <c r="C345" s="17">
        <v>44569</v>
      </c>
      <c r="D345" s="20">
        <v>0.415023148148148</v>
      </c>
      <c r="E345" t="s">
        <v>726</v>
      </c>
      <c r="F345" t="s">
        <v>754</v>
      </c>
    </row>
    <row r="346" spans="1:6" x14ac:dyDescent="0.25">
      <c r="A346" t="s">
        <v>876</v>
      </c>
      <c r="B346" t="s">
        <v>42</v>
      </c>
      <c r="C346" s="17">
        <v>44569</v>
      </c>
      <c r="D346" s="20" t="s">
        <v>1500</v>
      </c>
      <c r="E346" t="s">
        <v>877</v>
      </c>
      <c r="F346" t="s">
        <v>754</v>
      </c>
    </row>
    <row r="347" spans="1:6" x14ac:dyDescent="0.25">
      <c r="A347" t="s">
        <v>878</v>
      </c>
      <c r="B347" t="s">
        <v>887</v>
      </c>
      <c r="C347" s="17">
        <v>44569</v>
      </c>
      <c r="D347" s="20">
        <v>0.41622685185185199</v>
      </c>
      <c r="E347" t="s">
        <v>726</v>
      </c>
      <c r="F347" t="s">
        <v>754</v>
      </c>
    </row>
    <row r="348" spans="1:6" x14ac:dyDescent="0.25">
      <c r="A348" t="s">
        <v>876</v>
      </c>
      <c r="B348" t="s">
        <v>42</v>
      </c>
      <c r="C348" s="17">
        <v>44569</v>
      </c>
      <c r="D348" s="20" t="s">
        <v>1501</v>
      </c>
      <c r="E348" t="s">
        <v>877</v>
      </c>
      <c r="F348" t="s">
        <v>754</v>
      </c>
    </row>
    <row r="349" spans="1:6" x14ac:dyDescent="0.25">
      <c r="A349" t="s">
        <v>878</v>
      </c>
      <c r="B349" t="s">
        <v>887</v>
      </c>
      <c r="C349" s="17">
        <v>44569</v>
      </c>
      <c r="D349" s="20">
        <v>0.42319444444444398</v>
      </c>
      <c r="E349" t="s">
        <v>726</v>
      </c>
      <c r="F349" t="s">
        <v>754</v>
      </c>
    </row>
    <row r="350" spans="1:6" x14ac:dyDescent="0.25">
      <c r="A350" t="s">
        <v>876</v>
      </c>
      <c r="B350" t="s">
        <v>42</v>
      </c>
      <c r="C350" s="17">
        <v>44569</v>
      </c>
      <c r="D350" s="20" t="s">
        <v>1502</v>
      </c>
      <c r="E350" t="s">
        <v>877</v>
      </c>
      <c r="F350" t="s">
        <v>754</v>
      </c>
    </row>
    <row r="351" spans="1:6" x14ac:dyDescent="0.25">
      <c r="A351" t="s">
        <v>878</v>
      </c>
      <c r="B351" t="s">
        <v>887</v>
      </c>
      <c r="C351" s="17">
        <v>44569</v>
      </c>
      <c r="D351" s="20">
        <v>0.55298611111111096</v>
      </c>
      <c r="E351" t="s">
        <v>715</v>
      </c>
      <c r="F351" t="s">
        <v>754</v>
      </c>
    </row>
    <row r="352" spans="1:6" x14ac:dyDescent="0.25">
      <c r="A352" t="s">
        <v>876</v>
      </c>
      <c r="B352" t="s">
        <v>42</v>
      </c>
      <c r="C352" s="17">
        <v>44569</v>
      </c>
      <c r="D352" s="20" t="s">
        <v>1503</v>
      </c>
      <c r="E352" t="s">
        <v>877</v>
      </c>
      <c r="F352" t="s">
        <v>754</v>
      </c>
    </row>
    <row r="353" spans="1:6" x14ac:dyDescent="0.25">
      <c r="A353" t="s">
        <v>878</v>
      </c>
      <c r="B353" t="s">
        <v>887</v>
      </c>
      <c r="C353" s="17">
        <v>44569</v>
      </c>
      <c r="D353" s="20">
        <v>0.66855324074074096</v>
      </c>
      <c r="E353" t="s">
        <v>726</v>
      </c>
      <c r="F353" t="s">
        <v>754</v>
      </c>
    </row>
    <row r="354" spans="1:6" x14ac:dyDescent="0.25">
      <c r="A354" t="s">
        <v>876</v>
      </c>
      <c r="B354" t="s">
        <v>42</v>
      </c>
      <c r="C354" s="17">
        <v>44569</v>
      </c>
      <c r="D354" s="20" t="s">
        <v>1504</v>
      </c>
      <c r="E354" t="s">
        <v>877</v>
      </c>
      <c r="F354" t="s">
        <v>754</v>
      </c>
    </row>
    <row r="355" spans="1:6" x14ac:dyDescent="0.25">
      <c r="A355" t="s">
        <v>878</v>
      </c>
      <c r="B355" t="s">
        <v>887</v>
      </c>
      <c r="C355" s="17">
        <v>44569</v>
      </c>
      <c r="D355" s="20">
        <v>0.76616898148148105</v>
      </c>
      <c r="E355" t="s">
        <v>726</v>
      </c>
      <c r="F355" t="s">
        <v>754</v>
      </c>
    </row>
    <row r="356" spans="1:6" x14ac:dyDescent="0.25">
      <c r="A356" t="s">
        <v>876</v>
      </c>
      <c r="B356" t="s">
        <v>42</v>
      </c>
      <c r="C356" s="17">
        <v>44600</v>
      </c>
      <c r="D356" s="20" t="s">
        <v>861</v>
      </c>
      <c r="E356" t="s">
        <v>877</v>
      </c>
      <c r="F356" t="s">
        <v>754</v>
      </c>
    </row>
    <row r="357" spans="1:6" x14ac:dyDescent="0.25">
      <c r="A357" t="s">
        <v>878</v>
      </c>
      <c r="B357" t="s">
        <v>887</v>
      </c>
      <c r="C357" s="17">
        <v>44600</v>
      </c>
      <c r="D357" s="20">
        <v>0.44643518518518499</v>
      </c>
      <c r="E357" t="s">
        <v>726</v>
      </c>
      <c r="F357" t="s">
        <v>754</v>
      </c>
    </row>
    <row r="358" spans="1:6" x14ac:dyDescent="0.25">
      <c r="A358" t="s">
        <v>876</v>
      </c>
      <c r="B358" t="s">
        <v>42</v>
      </c>
      <c r="C358" s="17">
        <v>44600</v>
      </c>
      <c r="D358" s="20" t="s">
        <v>862</v>
      </c>
      <c r="E358" t="s">
        <v>877</v>
      </c>
      <c r="F358" t="s">
        <v>754</v>
      </c>
    </row>
    <row r="359" spans="1:6" x14ac:dyDescent="0.25">
      <c r="A359" t="s">
        <v>878</v>
      </c>
      <c r="B359" t="s">
        <v>887</v>
      </c>
      <c r="C359" s="17">
        <v>44600</v>
      </c>
      <c r="D359" s="20">
        <v>0.75480324074074101</v>
      </c>
      <c r="E359" t="s">
        <v>727</v>
      </c>
      <c r="F359" t="s">
        <v>754</v>
      </c>
    </row>
    <row r="360" spans="1:6" x14ac:dyDescent="0.25">
      <c r="A360" t="s">
        <v>876</v>
      </c>
      <c r="B360" t="s">
        <v>42</v>
      </c>
      <c r="C360" s="17">
        <v>44600</v>
      </c>
      <c r="D360" s="20" t="s">
        <v>863</v>
      </c>
      <c r="E360" t="s">
        <v>877</v>
      </c>
      <c r="F360" t="s">
        <v>754</v>
      </c>
    </row>
    <row r="361" spans="1:6" x14ac:dyDescent="0.25">
      <c r="A361" t="s">
        <v>878</v>
      </c>
      <c r="B361" t="s">
        <v>887</v>
      </c>
      <c r="C361" s="17">
        <v>44600</v>
      </c>
      <c r="D361" s="20">
        <v>0.82525462962963003</v>
      </c>
      <c r="E361" t="s">
        <v>727</v>
      </c>
      <c r="F361" t="s">
        <v>754</v>
      </c>
    </row>
    <row r="362" spans="1:6" x14ac:dyDescent="0.25">
      <c r="A362" t="s">
        <v>876</v>
      </c>
      <c r="B362" t="s">
        <v>42</v>
      </c>
      <c r="C362" s="17">
        <v>44600</v>
      </c>
      <c r="D362" s="20" t="s">
        <v>864</v>
      </c>
      <c r="E362" t="s">
        <v>877</v>
      </c>
      <c r="F362" t="s">
        <v>754</v>
      </c>
    </row>
    <row r="363" spans="1:6" x14ac:dyDescent="0.25">
      <c r="A363" t="s">
        <v>878</v>
      </c>
      <c r="B363" t="s">
        <v>887</v>
      </c>
      <c r="C363" s="17">
        <v>44600</v>
      </c>
      <c r="D363" s="20">
        <v>0.82618055555555603</v>
      </c>
      <c r="E363" t="s">
        <v>727</v>
      </c>
      <c r="F363" t="s">
        <v>754</v>
      </c>
    </row>
    <row r="364" spans="1:6" x14ac:dyDescent="0.25">
      <c r="A364" t="s">
        <v>876</v>
      </c>
      <c r="B364" t="s">
        <v>42</v>
      </c>
      <c r="C364" s="17">
        <v>44628</v>
      </c>
      <c r="D364" s="20" t="s">
        <v>1310</v>
      </c>
      <c r="E364" t="s">
        <v>877</v>
      </c>
      <c r="F364" t="s">
        <v>754</v>
      </c>
    </row>
    <row r="365" spans="1:6" x14ac:dyDescent="0.25">
      <c r="A365" t="s">
        <v>878</v>
      </c>
      <c r="B365" t="s">
        <v>887</v>
      </c>
      <c r="C365" s="17">
        <v>44628</v>
      </c>
      <c r="D365" s="20">
        <v>0.48509259259259302</v>
      </c>
      <c r="E365" t="s">
        <v>726</v>
      </c>
      <c r="F365" t="s">
        <v>754</v>
      </c>
    </row>
    <row r="366" spans="1:6" x14ac:dyDescent="0.25">
      <c r="A366" t="s">
        <v>876</v>
      </c>
      <c r="B366" t="s">
        <v>42</v>
      </c>
      <c r="C366" s="17">
        <v>44628</v>
      </c>
      <c r="D366" s="20" t="s">
        <v>1311</v>
      </c>
      <c r="E366" t="s">
        <v>877</v>
      </c>
      <c r="F366" t="s">
        <v>754</v>
      </c>
    </row>
    <row r="367" spans="1:6" x14ac:dyDescent="0.25">
      <c r="A367" t="s">
        <v>878</v>
      </c>
      <c r="B367" t="s">
        <v>887</v>
      </c>
      <c r="C367" s="17">
        <v>44628</v>
      </c>
      <c r="D367" s="20">
        <v>0.50056712962963001</v>
      </c>
      <c r="E367" t="s">
        <v>726</v>
      </c>
      <c r="F367" t="s">
        <v>754</v>
      </c>
    </row>
    <row r="368" spans="1:6" x14ac:dyDescent="0.25">
      <c r="A368" t="s">
        <v>876</v>
      </c>
      <c r="B368" t="s">
        <v>42</v>
      </c>
      <c r="C368" s="17">
        <v>44628</v>
      </c>
      <c r="D368" s="20" t="s">
        <v>1312</v>
      </c>
      <c r="E368" t="s">
        <v>877</v>
      </c>
      <c r="F368" t="s">
        <v>754</v>
      </c>
    </row>
    <row r="369" spans="1:6" x14ac:dyDescent="0.25">
      <c r="A369" t="s">
        <v>878</v>
      </c>
      <c r="B369" t="s">
        <v>887</v>
      </c>
      <c r="C369" s="17">
        <v>44628</v>
      </c>
      <c r="D369" s="20">
        <v>0.57694444444444404</v>
      </c>
      <c r="E369" t="s">
        <v>726</v>
      </c>
      <c r="F369" t="s">
        <v>754</v>
      </c>
    </row>
    <row r="370" spans="1:6" x14ac:dyDescent="0.25">
      <c r="A370" t="s">
        <v>876</v>
      </c>
      <c r="B370" t="s">
        <v>42</v>
      </c>
      <c r="C370" s="17">
        <v>44628</v>
      </c>
      <c r="D370" s="20" t="s">
        <v>1313</v>
      </c>
      <c r="E370" t="s">
        <v>877</v>
      </c>
      <c r="F370" t="s">
        <v>754</v>
      </c>
    </row>
    <row r="371" spans="1:6" x14ac:dyDescent="0.25">
      <c r="A371" t="s">
        <v>878</v>
      </c>
      <c r="B371" t="s">
        <v>887</v>
      </c>
      <c r="C371" s="17">
        <v>44628</v>
      </c>
      <c r="D371" s="20">
        <v>0.61697916666666697</v>
      </c>
      <c r="E371" t="s">
        <v>726</v>
      </c>
      <c r="F371" t="s">
        <v>754</v>
      </c>
    </row>
    <row r="372" spans="1:6" x14ac:dyDescent="0.25">
      <c r="A372" t="s">
        <v>876</v>
      </c>
      <c r="B372" t="s">
        <v>42</v>
      </c>
      <c r="C372" s="17">
        <v>44659</v>
      </c>
      <c r="D372" s="20" t="s">
        <v>991</v>
      </c>
      <c r="E372" t="s">
        <v>877</v>
      </c>
      <c r="F372" t="s">
        <v>754</v>
      </c>
    </row>
    <row r="373" spans="1:6" x14ac:dyDescent="0.25">
      <c r="A373" t="s">
        <v>878</v>
      </c>
      <c r="B373" t="s">
        <v>887</v>
      </c>
      <c r="C373" s="17">
        <v>44659</v>
      </c>
      <c r="D373" s="20">
        <v>0.30156250000000001</v>
      </c>
      <c r="E373" t="s">
        <v>727</v>
      </c>
      <c r="F373" t="s">
        <v>754</v>
      </c>
    </row>
    <row r="374" spans="1:6" x14ac:dyDescent="0.25">
      <c r="A374" t="s">
        <v>876</v>
      </c>
      <c r="B374" t="s">
        <v>42</v>
      </c>
      <c r="C374" s="17">
        <v>44659</v>
      </c>
      <c r="D374" s="20" t="s">
        <v>992</v>
      </c>
      <c r="E374" t="s">
        <v>877</v>
      </c>
      <c r="F374" t="s">
        <v>754</v>
      </c>
    </row>
    <row r="375" spans="1:6" x14ac:dyDescent="0.25">
      <c r="A375" t="s">
        <v>878</v>
      </c>
      <c r="B375" t="s">
        <v>887</v>
      </c>
      <c r="C375" s="17">
        <v>44659</v>
      </c>
      <c r="D375" s="20">
        <v>0.38699074074074102</v>
      </c>
      <c r="E375" t="s">
        <v>726</v>
      </c>
      <c r="F375" t="s">
        <v>754</v>
      </c>
    </row>
    <row r="376" spans="1:6" x14ac:dyDescent="0.25">
      <c r="A376" t="s">
        <v>876</v>
      </c>
      <c r="B376" t="s">
        <v>42</v>
      </c>
      <c r="C376" s="17">
        <v>44659</v>
      </c>
      <c r="D376" s="20" t="s">
        <v>993</v>
      </c>
      <c r="E376" t="s">
        <v>877</v>
      </c>
      <c r="F376" t="s">
        <v>754</v>
      </c>
    </row>
    <row r="377" spans="1:6" x14ac:dyDescent="0.25">
      <c r="A377" t="s">
        <v>878</v>
      </c>
      <c r="B377" t="s">
        <v>887</v>
      </c>
      <c r="C377" s="17">
        <v>44659</v>
      </c>
      <c r="D377" s="20">
        <v>0.39744212962962999</v>
      </c>
      <c r="E377" t="s">
        <v>726</v>
      </c>
      <c r="F377" t="s">
        <v>754</v>
      </c>
    </row>
    <row r="378" spans="1:6" x14ac:dyDescent="0.25">
      <c r="A378" t="s">
        <v>876</v>
      </c>
      <c r="B378" t="s">
        <v>42</v>
      </c>
      <c r="C378" s="17">
        <v>44659</v>
      </c>
      <c r="D378" s="20" t="s">
        <v>994</v>
      </c>
      <c r="E378" t="s">
        <v>877</v>
      </c>
      <c r="F378" t="s">
        <v>754</v>
      </c>
    </row>
    <row r="379" spans="1:6" x14ac:dyDescent="0.25">
      <c r="A379" t="s">
        <v>878</v>
      </c>
      <c r="B379" t="s">
        <v>887</v>
      </c>
      <c r="C379" s="17">
        <v>44659</v>
      </c>
      <c r="D379" s="20">
        <v>0.41381944444444402</v>
      </c>
      <c r="E379" t="s">
        <v>726</v>
      </c>
      <c r="F379" t="s">
        <v>754</v>
      </c>
    </row>
    <row r="380" spans="1:6" x14ac:dyDescent="0.25">
      <c r="A380" t="s">
        <v>876</v>
      </c>
      <c r="B380" t="s">
        <v>42</v>
      </c>
      <c r="C380" s="17">
        <v>44659</v>
      </c>
      <c r="D380" s="20" t="s">
        <v>995</v>
      </c>
      <c r="E380" t="s">
        <v>877</v>
      </c>
      <c r="F380" t="s">
        <v>754</v>
      </c>
    </row>
    <row r="381" spans="1:6" x14ac:dyDescent="0.25">
      <c r="A381" t="s">
        <v>878</v>
      </c>
      <c r="B381" t="s">
        <v>887</v>
      </c>
      <c r="C381" s="17">
        <v>44659</v>
      </c>
      <c r="D381" s="20">
        <v>0.54334490740740704</v>
      </c>
      <c r="E381" t="s">
        <v>726</v>
      </c>
      <c r="F381" t="s">
        <v>754</v>
      </c>
    </row>
    <row r="382" spans="1:6" x14ac:dyDescent="0.25">
      <c r="A382" t="s">
        <v>876</v>
      </c>
      <c r="B382" t="s">
        <v>42</v>
      </c>
      <c r="C382" s="17">
        <v>44659</v>
      </c>
      <c r="D382" s="20" t="s">
        <v>996</v>
      </c>
      <c r="E382" t="s">
        <v>877</v>
      </c>
      <c r="F382" t="s">
        <v>754</v>
      </c>
    </row>
    <row r="383" spans="1:6" x14ac:dyDescent="0.25">
      <c r="A383" t="s">
        <v>878</v>
      </c>
      <c r="B383" t="s">
        <v>887</v>
      </c>
      <c r="C383" s="17">
        <v>44659</v>
      </c>
      <c r="D383" s="20">
        <v>0.54608796296296302</v>
      </c>
      <c r="E383" t="s">
        <v>726</v>
      </c>
      <c r="F383" t="s">
        <v>754</v>
      </c>
    </row>
    <row r="384" spans="1:6" x14ac:dyDescent="0.25">
      <c r="A384" t="s">
        <v>876</v>
      </c>
      <c r="B384" t="s">
        <v>42</v>
      </c>
      <c r="C384" s="17">
        <v>44659</v>
      </c>
      <c r="D384" s="20" t="s">
        <v>997</v>
      </c>
      <c r="E384" t="s">
        <v>877</v>
      </c>
      <c r="F384" t="s">
        <v>754</v>
      </c>
    </row>
    <row r="385" spans="1:6" x14ac:dyDescent="0.25">
      <c r="A385" t="s">
        <v>878</v>
      </c>
      <c r="B385" t="s">
        <v>887</v>
      </c>
      <c r="C385" s="17">
        <v>44659</v>
      </c>
      <c r="D385" s="20">
        <v>0.63262731481481504</v>
      </c>
      <c r="E385" t="s">
        <v>726</v>
      </c>
      <c r="F385" t="s">
        <v>754</v>
      </c>
    </row>
    <row r="386" spans="1:6" x14ac:dyDescent="0.25">
      <c r="A386" t="s">
        <v>876</v>
      </c>
      <c r="B386" t="s">
        <v>42</v>
      </c>
      <c r="C386" s="17">
        <v>44659</v>
      </c>
      <c r="D386" s="20" t="s">
        <v>998</v>
      </c>
      <c r="E386" t="s">
        <v>877</v>
      </c>
      <c r="F386" t="s">
        <v>754</v>
      </c>
    </row>
    <row r="387" spans="1:6" x14ac:dyDescent="0.25">
      <c r="A387" t="s">
        <v>878</v>
      </c>
      <c r="B387" t="s">
        <v>887</v>
      </c>
      <c r="C387" s="17">
        <v>44659</v>
      </c>
      <c r="D387" s="20">
        <v>0.63571759259259297</v>
      </c>
      <c r="E387" t="s">
        <v>726</v>
      </c>
      <c r="F387" t="s">
        <v>754</v>
      </c>
    </row>
    <row r="388" spans="1:6" x14ac:dyDescent="0.25">
      <c r="A388" t="s">
        <v>876</v>
      </c>
      <c r="B388" t="s">
        <v>42</v>
      </c>
      <c r="C388" s="17">
        <v>44659</v>
      </c>
      <c r="D388" s="20" t="s">
        <v>999</v>
      </c>
      <c r="E388" t="s">
        <v>877</v>
      </c>
      <c r="F388" t="s">
        <v>754</v>
      </c>
    </row>
    <row r="389" spans="1:6" x14ac:dyDescent="0.25">
      <c r="A389" t="s">
        <v>878</v>
      </c>
      <c r="B389" t="s">
        <v>887</v>
      </c>
      <c r="C389" s="17">
        <v>44659</v>
      </c>
      <c r="D389" s="20">
        <v>0.66094907407407399</v>
      </c>
      <c r="E389" t="s">
        <v>726</v>
      </c>
      <c r="F389" t="s">
        <v>754</v>
      </c>
    </row>
    <row r="390" spans="1:6" x14ac:dyDescent="0.25">
      <c r="A390" t="s">
        <v>876</v>
      </c>
      <c r="B390" t="s">
        <v>27</v>
      </c>
      <c r="C390" s="17">
        <v>44569</v>
      </c>
      <c r="D390" s="20" t="s">
        <v>1505</v>
      </c>
      <c r="E390" t="s">
        <v>877</v>
      </c>
      <c r="F390" t="s">
        <v>754</v>
      </c>
    </row>
    <row r="391" spans="1:6" x14ac:dyDescent="0.25">
      <c r="A391" t="s">
        <v>878</v>
      </c>
      <c r="B391" t="s">
        <v>888</v>
      </c>
      <c r="C391" s="17">
        <v>44569</v>
      </c>
      <c r="D391" s="20">
        <v>0.35776620370370399</v>
      </c>
      <c r="E391" t="s">
        <v>728</v>
      </c>
      <c r="F391" t="s">
        <v>754</v>
      </c>
    </row>
    <row r="392" spans="1:6" x14ac:dyDescent="0.25">
      <c r="A392" t="s">
        <v>876</v>
      </c>
      <c r="B392" t="s">
        <v>27</v>
      </c>
      <c r="C392" s="17">
        <v>44569</v>
      </c>
      <c r="D392" s="20" t="s">
        <v>1506</v>
      </c>
      <c r="E392" t="s">
        <v>877</v>
      </c>
      <c r="F392" t="s">
        <v>754</v>
      </c>
    </row>
    <row r="393" spans="1:6" x14ac:dyDescent="0.25">
      <c r="A393" t="s">
        <v>878</v>
      </c>
      <c r="B393" t="s">
        <v>888</v>
      </c>
      <c r="C393" s="17">
        <v>44569</v>
      </c>
      <c r="D393" s="20">
        <v>0.46880787037036997</v>
      </c>
      <c r="E393" t="s">
        <v>728</v>
      </c>
      <c r="F393" t="s">
        <v>754</v>
      </c>
    </row>
    <row r="394" spans="1:6" x14ac:dyDescent="0.25">
      <c r="A394" t="s">
        <v>876</v>
      </c>
      <c r="B394" t="s">
        <v>27</v>
      </c>
      <c r="C394" s="17">
        <v>44569</v>
      </c>
      <c r="D394" s="20" t="s">
        <v>1507</v>
      </c>
      <c r="E394" t="s">
        <v>877</v>
      </c>
      <c r="F394" t="s">
        <v>754</v>
      </c>
    </row>
    <row r="395" spans="1:6" x14ac:dyDescent="0.25">
      <c r="A395" t="s">
        <v>878</v>
      </c>
      <c r="B395" t="s">
        <v>888</v>
      </c>
      <c r="C395" s="17">
        <v>44569</v>
      </c>
      <c r="D395" s="20">
        <v>0.50891203703703702</v>
      </c>
      <c r="E395" t="s">
        <v>728</v>
      </c>
      <c r="F395" t="s">
        <v>754</v>
      </c>
    </row>
    <row r="396" spans="1:6" x14ac:dyDescent="0.25">
      <c r="A396" t="s">
        <v>876</v>
      </c>
      <c r="B396" t="s">
        <v>27</v>
      </c>
      <c r="C396" s="17">
        <v>44569</v>
      </c>
      <c r="D396" s="20" t="s">
        <v>1508</v>
      </c>
      <c r="E396" t="s">
        <v>877</v>
      </c>
      <c r="F396" t="s">
        <v>754</v>
      </c>
    </row>
    <row r="397" spans="1:6" x14ac:dyDescent="0.25">
      <c r="A397" t="s">
        <v>878</v>
      </c>
      <c r="B397" t="s">
        <v>888</v>
      </c>
      <c r="C397" s="17">
        <v>44569</v>
      </c>
      <c r="D397" s="20">
        <v>0.51032407407407399</v>
      </c>
      <c r="E397" t="s">
        <v>728</v>
      </c>
      <c r="F397" t="s">
        <v>754</v>
      </c>
    </row>
    <row r="398" spans="1:6" x14ac:dyDescent="0.25">
      <c r="A398" t="s">
        <v>876</v>
      </c>
      <c r="B398" t="s">
        <v>27</v>
      </c>
      <c r="C398" s="17">
        <v>44569</v>
      </c>
      <c r="D398" s="20" t="s">
        <v>1509</v>
      </c>
      <c r="E398" t="s">
        <v>877</v>
      </c>
      <c r="F398" t="s">
        <v>754</v>
      </c>
    </row>
    <row r="399" spans="1:6" x14ac:dyDescent="0.25">
      <c r="A399" t="s">
        <v>878</v>
      </c>
      <c r="B399" t="s">
        <v>888</v>
      </c>
      <c r="C399" s="17">
        <v>44569</v>
      </c>
      <c r="D399" s="20">
        <v>0.61521990740740695</v>
      </c>
      <c r="E399" t="s">
        <v>728</v>
      </c>
      <c r="F399" t="s">
        <v>754</v>
      </c>
    </row>
    <row r="400" spans="1:6" x14ac:dyDescent="0.25">
      <c r="A400" t="s">
        <v>876</v>
      </c>
      <c r="B400" t="s">
        <v>27</v>
      </c>
      <c r="C400" s="17">
        <v>44569</v>
      </c>
      <c r="D400" s="20" t="s">
        <v>1510</v>
      </c>
      <c r="E400" t="s">
        <v>877</v>
      </c>
      <c r="F400" t="s">
        <v>754</v>
      </c>
    </row>
    <row r="401" spans="1:6" x14ac:dyDescent="0.25">
      <c r="A401" t="s">
        <v>878</v>
      </c>
      <c r="B401" t="s">
        <v>888</v>
      </c>
      <c r="C401" s="17">
        <v>44569</v>
      </c>
      <c r="D401" s="20">
        <v>0.78520833333333295</v>
      </c>
      <c r="E401" t="s">
        <v>728</v>
      </c>
      <c r="F401" t="s">
        <v>754</v>
      </c>
    </row>
    <row r="402" spans="1:6" x14ac:dyDescent="0.25">
      <c r="A402" t="s">
        <v>876</v>
      </c>
      <c r="B402" t="s">
        <v>27</v>
      </c>
      <c r="C402" s="17">
        <v>44569</v>
      </c>
      <c r="D402" s="20" t="s">
        <v>1511</v>
      </c>
      <c r="E402" t="s">
        <v>877</v>
      </c>
      <c r="F402" t="s">
        <v>754</v>
      </c>
    </row>
    <row r="403" spans="1:6" x14ac:dyDescent="0.25">
      <c r="A403" t="s">
        <v>878</v>
      </c>
      <c r="B403" t="s">
        <v>888</v>
      </c>
      <c r="C403" s="17">
        <v>44569</v>
      </c>
      <c r="D403" s="20">
        <v>0.84277777777777796</v>
      </c>
      <c r="E403" t="s">
        <v>728</v>
      </c>
      <c r="F403" t="s">
        <v>754</v>
      </c>
    </row>
    <row r="404" spans="1:6" x14ac:dyDescent="0.25">
      <c r="A404" t="s">
        <v>876</v>
      </c>
      <c r="B404" t="s">
        <v>27</v>
      </c>
      <c r="C404" s="17">
        <v>44600</v>
      </c>
      <c r="D404" s="20" t="s">
        <v>865</v>
      </c>
      <c r="E404" t="s">
        <v>877</v>
      </c>
      <c r="F404" t="s">
        <v>754</v>
      </c>
    </row>
    <row r="405" spans="1:6" x14ac:dyDescent="0.25">
      <c r="A405" t="s">
        <v>878</v>
      </c>
      <c r="B405" t="s">
        <v>888</v>
      </c>
      <c r="C405" s="17">
        <v>44600</v>
      </c>
      <c r="D405" s="20">
        <v>0.413680555555556</v>
      </c>
      <c r="E405" t="s">
        <v>728</v>
      </c>
      <c r="F405" t="s">
        <v>754</v>
      </c>
    </row>
    <row r="406" spans="1:6" x14ac:dyDescent="0.25">
      <c r="A406" t="s">
        <v>876</v>
      </c>
      <c r="B406" t="s">
        <v>27</v>
      </c>
      <c r="C406" s="17">
        <v>44600</v>
      </c>
      <c r="D406" s="20" t="s">
        <v>866</v>
      </c>
      <c r="E406" t="s">
        <v>877</v>
      </c>
      <c r="F406" t="s">
        <v>754</v>
      </c>
    </row>
    <row r="407" spans="1:6" x14ac:dyDescent="0.25">
      <c r="A407" t="s">
        <v>878</v>
      </c>
      <c r="B407" t="s">
        <v>888</v>
      </c>
      <c r="C407" s="17">
        <v>44600</v>
      </c>
      <c r="D407" s="20">
        <v>0.44533564814814802</v>
      </c>
      <c r="E407" t="s">
        <v>728</v>
      </c>
      <c r="F407" t="s">
        <v>754</v>
      </c>
    </row>
    <row r="408" spans="1:6" x14ac:dyDescent="0.25">
      <c r="A408" t="s">
        <v>876</v>
      </c>
      <c r="B408" t="s">
        <v>27</v>
      </c>
      <c r="C408" s="17">
        <v>44600</v>
      </c>
      <c r="D408" s="20" t="s">
        <v>867</v>
      </c>
      <c r="E408" t="s">
        <v>877</v>
      </c>
      <c r="F408" t="s">
        <v>754</v>
      </c>
    </row>
    <row r="409" spans="1:6" x14ac:dyDescent="0.25">
      <c r="A409" t="s">
        <v>878</v>
      </c>
      <c r="B409" t="s">
        <v>888</v>
      </c>
      <c r="C409" s="17">
        <v>44600</v>
      </c>
      <c r="D409" s="20">
        <v>0.55371527777777796</v>
      </c>
      <c r="E409" t="s">
        <v>728</v>
      </c>
      <c r="F409" t="s">
        <v>754</v>
      </c>
    </row>
    <row r="410" spans="1:6" x14ac:dyDescent="0.25">
      <c r="A410" t="s">
        <v>876</v>
      </c>
      <c r="B410" t="s">
        <v>27</v>
      </c>
      <c r="C410" s="17">
        <v>44600</v>
      </c>
      <c r="D410" s="20" t="s">
        <v>868</v>
      </c>
      <c r="E410" t="s">
        <v>877</v>
      </c>
      <c r="F410" t="s">
        <v>754</v>
      </c>
    </row>
    <row r="411" spans="1:6" x14ac:dyDescent="0.25">
      <c r="A411" t="s">
        <v>878</v>
      </c>
      <c r="B411" t="s">
        <v>888</v>
      </c>
      <c r="C411" s="17">
        <v>44600</v>
      </c>
      <c r="D411" s="20">
        <v>0.71195601851851897</v>
      </c>
      <c r="E411" t="s">
        <v>729</v>
      </c>
      <c r="F411" t="s">
        <v>754</v>
      </c>
    </row>
    <row r="412" spans="1:6" x14ac:dyDescent="0.25">
      <c r="A412" t="s">
        <v>876</v>
      </c>
      <c r="B412" t="s">
        <v>27</v>
      </c>
      <c r="C412" s="17">
        <v>44628</v>
      </c>
      <c r="D412" s="20" t="s">
        <v>1314</v>
      </c>
      <c r="E412" t="s">
        <v>877</v>
      </c>
      <c r="F412" t="s">
        <v>754</v>
      </c>
    </row>
    <row r="413" spans="1:6" x14ac:dyDescent="0.25">
      <c r="A413" t="s">
        <v>878</v>
      </c>
      <c r="B413" t="s">
        <v>888</v>
      </c>
      <c r="C413" s="17">
        <v>44628</v>
      </c>
      <c r="D413" s="20">
        <v>0.25430555555555601</v>
      </c>
      <c r="E413" t="s">
        <v>728</v>
      </c>
      <c r="F413" t="s">
        <v>754</v>
      </c>
    </row>
    <row r="414" spans="1:6" x14ac:dyDescent="0.25">
      <c r="A414" t="s">
        <v>876</v>
      </c>
      <c r="B414" t="s">
        <v>27</v>
      </c>
      <c r="C414" s="17">
        <v>44628</v>
      </c>
      <c r="D414" s="20" t="s">
        <v>1315</v>
      </c>
      <c r="E414" t="s">
        <v>877</v>
      </c>
      <c r="F414" t="s">
        <v>754</v>
      </c>
    </row>
    <row r="415" spans="1:6" x14ac:dyDescent="0.25">
      <c r="A415" t="s">
        <v>878</v>
      </c>
      <c r="B415" t="s">
        <v>888</v>
      </c>
      <c r="C415" s="17">
        <v>44628</v>
      </c>
      <c r="D415" s="20">
        <v>0.38564814814814802</v>
      </c>
      <c r="E415" t="s">
        <v>715</v>
      </c>
      <c r="F415" t="s">
        <v>754</v>
      </c>
    </row>
    <row r="416" spans="1:6" x14ac:dyDescent="0.25">
      <c r="A416" t="s">
        <v>876</v>
      </c>
      <c r="B416" t="s">
        <v>27</v>
      </c>
      <c r="C416" s="17">
        <v>44628</v>
      </c>
      <c r="D416" s="20" t="s">
        <v>1316</v>
      </c>
      <c r="E416" t="s">
        <v>877</v>
      </c>
      <c r="F416" t="s">
        <v>754</v>
      </c>
    </row>
    <row r="417" spans="1:6" x14ac:dyDescent="0.25">
      <c r="A417" t="s">
        <v>878</v>
      </c>
      <c r="B417" t="s">
        <v>888</v>
      </c>
      <c r="C417" s="17">
        <v>44628</v>
      </c>
      <c r="D417" s="20">
        <v>0.40069444444444402</v>
      </c>
      <c r="E417" t="s">
        <v>715</v>
      </c>
      <c r="F417" t="s">
        <v>754</v>
      </c>
    </row>
    <row r="418" spans="1:6" x14ac:dyDescent="0.25">
      <c r="A418" t="s">
        <v>876</v>
      </c>
      <c r="B418" t="s">
        <v>27</v>
      </c>
      <c r="C418" s="17">
        <v>44628</v>
      </c>
      <c r="D418" s="20" t="s">
        <v>1317</v>
      </c>
      <c r="E418" t="s">
        <v>877</v>
      </c>
      <c r="F418" t="s">
        <v>754</v>
      </c>
    </row>
    <row r="419" spans="1:6" x14ac:dyDescent="0.25">
      <c r="A419" t="s">
        <v>878</v>
      </c>
      <c r="B419" t="s">
        <v>888</v>
      </c>
      <c r="C419" s="17">
        <v>44628</v>
      </c>
      <c r="D419" s="20">
        <v>0.42890046296296302</v>
      </c>
      <c r="E419" t="s">
        <v>728</v>
      </c>
      <c r="F419" t="s">
        <v>754</v>
      </c>
    </row>
    <row r="420" spans="1:6" x14ac:dyDescent="0.25">
      <c r="A420" t="s">
        <v>876</v>
      </c>
      <c r="B420" t="s">
        <v>27</v>
      </c>
      <c r="C420" s="17">
        <v>44628</v>
      </c>
      <c r="D420" s="20" t="s">
        <v>1318</v>
      </c>
      <c r="E420" t="s">
        <v>877</v>
      </c>
      <c r="F420" t="s">
        <v>754</v>
      </c>
    </row>
    <row r="421" spans="1:6" x14ac:dyDescent="0.25">
      <c r="A421" t="s">
        <v>878</v>
      </c>
      <c r="B421" t="s">
        <v>888</v>
      </c>
      <c r="C421" s="17">
        <v>44628</v>
      </c>
      <c r="D421" s="20">
        <v>0.56600694444444399</v>
      </c>
      <c r="E421" t="s">
        <v>728</v>
      </c>
      <c r="F421" t="s">
        <v>754</v>
      </c>
    </row>
    <row r="422" spans="1:6" x14ac:dyDescent="0.25">
      <c r="A422" t="s">
        <v>876</v>
      </c>
      <c r="B422" t="s">
        <v>27</v>
      </c>
      <c r="C422" s="17">
        <v>44628</v>
      </c>
      <c r="D422" s="20" t="s">
        <v>1319</v>
      </c>
      <c r="E422" t="s">
        <v>877</v>
      </c>
      <c r="F422" t="s">
        <v>754</v>
      </c>
    </row>
    <row r="423" spans="1:6" x14ac:dyDescent="0.25">
      <c r="A423" t="s">
        <v>878</v>
      </c>
      <c r="B423" t="s">
        <v>888</v>
      </c>
      <c r="C423" s="17">
        <v>44628</v>
      </c>
      <c r="D423" s="20">
        <v>0.59055555555555606</v>
      </c>
      <c r="E423" t="s">
        <v>728</v>
      </c>
      <c r="F423" t="s">
        <v>754</v>
      </c>
    </row>
    <row r="424" spans="1:6" x14ac:dyDescent="0.25">
      <c r="A424" t="s">
        <v>876</v>
      </c>
      <c r="B424" t="s">
        <v>27</v>
      </c>
      <c r="C424" s="17">
        <v>44628</v>
      </c>
      <c r="D424" s="20" t="s">
        <v>1320</v>
      </c>
      <c r="E424" t="s">
        <v>877</v>
      </c>
      <c r="F424" t="s">
        <v>754</v>
      </c>
    </row>
    <row r="425" spans="1:6" x14ac:dyDescent="0.25">
      <c r="A425" t="s">
        <v>878</v>
      </c>
      <c r="B425" t="s">
        <v>888</v>
      </c>
      <c r="C425" s="17">
        <v>44628</v>
      </c>
      <c r="D425" s="20">
        <v>0.59914351851851899</v>
      </c>
      <c r="E425" t="s">
        <v>729</v>
      </c>
      <c r="F425" t="s">
        <v>754</v>
      </c>
    </row>
    <row r="426" spans="1:6" x14ac:dyDescent="0.25">
      <c r="A426" t="s">
        <v>876</v>
      </c>
      <c r="B426" t="s">
        <v>27</v>
      </c>
      <c r="C426" s="17">
        <v>44628</v>
      </c>
      <c r="D426" s="20" t="s">
        <v>1321</v>
      </c>
      <c r="E426" t="s">
        <v>877</v>
      </c>
      <c r="F426" t="s">
        <v>754</v>
      </c>
    </row>
    <row r="427" spans="1:6" x14ac:dyDescent="0.25">
      <c r="A427" t="s">
        <v>878</v>
      </c>
      <c r="B427" t="s">
        <v>888</v>
      </c>
      <c r="C427" s="17">
        <v>44628</v>
      </c>
      <c r="D427" s="20">
        <v>0.60119212962962998</v>
      </c>
      <c r="E427" t="s">
        <v>729</v>
      </c>
      <c r="F427" t="s">
        <v>754</v>
      </c>
    </row>
    <row r="428" spans="1:6" x14ac:dyDescent="0.25">
      <c r="A428" t="s">
        <v>876</v>
      </c>
      <c r="B428" t="s">
        <v>27</v>
      </c>
      <c r="C428" s="17">
        <v>44628</v>
      </c>
      <c r="D428" s="20" t="s">
        <v>1322</v>
      </c>
      <c r="E428" t="s">
        <v>877</v>
      </c>
      <c r="F428" t="s">
        <v>754</v>
      </c>
    </row>
    <row r="429" spans="1:6" x14ac:dyDescent="0.25">
      <c r="A429" t="s">
        <v>878</v>
      </c>
      <c r="B429" t="s">
        <v>888</v>
      </c>
      <c r="C429" s="17">
        <v>44628</v>
      </c>
      <c r="D429" s="20">
        <v>0.656018518518518</v>
      </c>
      <c r="E429" t="s">
        <v>729</v>
      </c>
      <c r="F429" t="s">
        <v>754</v>
      </c>
    </row>
    <row r="430" spans="1:6" x14ac:dyDescent="0.25">
      <c r="A430" t="s">
        <v>876</v>
      </c>
      <c r="B430" t="s">
        <v>27</v>
      </c>
      <c r="C430" s="17">
        <v>44659</v>
      </c>
      <c r="D430" s="20" t="s">
        <v>1000</v>
      </c>
      <c r="E430" t="s">
        <v>877</v>
      </c>
      <c r="F430" t="s">
        <v>754</v>
      </c>
    </row>
    <row r="431" spans="1:6" x14ac:dyDescent="0.25">
      <c r="A431" t="s">
        <v>878</v>
      </c>
      <c r="B431" t="s">
        <v>888</v>
      </c>
      <c r="C431" s="17">
        <v>44659</v>
      </c>
      <c r="D431" s="20">
        <v>0.353483796296296</v>
      </c>
      <c r="E431" t="s">
        <v>728</v>
      </c>
      <c r="F431" t="s">
        <v>754</v>
      </c>
    </row>
    <row r="432" spans="1:6" x14ac:dyDescent="0.25">
      <c r="A432" t="s">
        <v>876</v>
      </c>
      <c r="B432" t="s">
        <v>27</v>
      </c>
      <c r="C432" s="17">
        <v>44659</v>
      </c>
      <c r="D432" s="20" t="s">
        <v>1001</v>
      </c>
      <c r="E432" t="s">
        <v>877</v>
      </c>
      <c r="F432" t="s">
        <v>754</v>
      </c>
    </row>
    <row r="433" spans="1:6" x14ac:dyDescent="0.25">
      <c r="A433" t="s">
        <v>878</v>
      </c>
      <c r="B433" t="s">
        <v>888</v>
      </c>
      <c r="C433" s="17">
        <v>44659</v>
      </c>
      <c r="D433" s="20">
        <v>0.48719907407407398</v>
      </c>
      <c r="E433" t="s">
        <v>728</v>
      </c>
      <c r="F433" t="s">
        <v>754</v>
      </c>
    </row>
    <row r="434" spans="1:6" x14ac:dyDescent="0.25">
      <c r="A434" t="s">
        <v>876</v>
      </c>
      <c r="B434" t="s">
        <v>27</v>
      </c>
      <c r="C434" s="17">
        <v>44659</v>
      </c>
      <c r="D434" s="20" t="s">
        <v>1002</v>
      </c>
      <c r="E434" t="s">
        <v>877</v>
      </c>
      <c r="F434" t="s">
        <v>754</v>
      </c>
    </row>
    <row r="435" spans="1:6" x14ac:dyDescent="0.25">
      <c r="A435" t="s">
        <v>878</v>
      </c>
      <c r="B435" t="s">
        <v>888</v>
      </c>
      <c r="C435" s="17">
        <v>44659</v>
      </c>
      <c r="D435" s="20">
        <v>0.56690972222222202</v>
      </c>
      <c r="E435" t="s">
        <v>728</v>
      </c>
      <c r="F435" t="s">
        <v>754</v>
      </c>
    </row>
    <row r="436" spans="1:6" x14ac:dyDescent="0.25">
      <c r="A436" t="s">
        <v>876</v>
      </c>
      <c r="B436" t="s">
        <v>27</v>
      </c>
      <c r="C436" s="17">
        <v>44659</v>
      </c>
      <c r="D436" s="20" t="s">
        <v>1003</v>
      </c>
      <c r="E436" t="s">
        <v>877</v>
      </c>
      <c r="F436" t="s">
        <v>754</v>
      </c>
    </row>
    <row r="437" spans="1:6" x14ac:dyDescent="0.25">
      <c r="A437" t="s">
        <v>878</v>
      </c>
      <c r="B437" t="s">
        <v>888</v>
      </c>
      <c r="C437" s="17">
        <v>44659</v>
      </c>
      <c r="D437" s="20">
        <v>0.71722222222222198</v>
      </c>
      <c r="E437" t="s">
        <v>729</v>
      </c>
      <c r="F437" t="s">
        <v>754</v>
      </c>
    </row>
    <row r="438" spans="1:6" x14ac:dyDescent="0.25">
      <c r="A438" t="s">
        <v>876</v>
      </c>
      <c r="B438" t="s">
        <v>27</v>
      </c>
      <c r="C438" s="17">
        <v>44659</v>
      </c>
      <c r="D438" s="20" t="s">
        <v>1004</v>
      </c>
      <c r="E438" t="s">
        <v>877</v>
      </c>
      <c r="F438" t="s">
        <v>754</v>
      </c>
    </row>
    <row r="439" spans="1:6" x14ac:dyDescent="0.25">
      <c r="A439" t="s">
        <v>878</v>
      </c>
      <c r="B439" t="s">
        <v>888</v>
      </c>
      <c r="C439" s="17">
        <v>44659</v>
      </c>
      <c r="D439" s="20">
        <v>0.867916666666667</v>
      </c>
      <c r="E439" t="s">
        <v>729</v>
      </c>
      <c r="F439" t="s">
        <v>754</v>
      </c>
    </row>
    <row r="440" spans="1:6" x14ac:dyDescent="0.25">
      <c r="A440" t="s">
        <v>876</v>
      </c>
      <c r="B440" t="s">
        <v>28</v>
      </c>
      <c r="C440" s="17">
        <v>44569</v>
      </c>
      <c r="D440" s="20" t="s">
        <v>1512</v>
      </c>
      <c r="E440" t="s">
        <v>877</v>
      </c>
      <c r="F440" t="s">
        <v>754</v>
      </c>
    </row>
    <row r="441" spans="1:6" x14ac:dyDescent="0.25">
      <c r="A441" t="s">
        <v>878</v>
      </c>
      <c r="B441" t="s">
        <v>889</v>
      </c>
      <c r="C441" s="17">
        <v>44569</v>
      </c>
      <c r="D441" s="20">
        <v>0.62113425925925903</v>
      </c>
      <c r="E441" t="s">
        <v>730</v>
      </c>
      <c r="F441" t="s">
        <v>754</v>
      </c>
    </row>
    <row r="442" spans="1:6" x14ac:dyDescent="0.25">
      <c r="A442" t="s">
        <v>876</v>
      </c>
      <c r="B442" t="s">
        <v>28</v>
      </c>
      <c r="C442" s="17">
        <v>44569</v>
      </c>
      <c r="D442" s="20" t="s">
        <v>1513</v>
      </c>
      <c r="E442" t="s">
        <v>877</v>
      </c>
      <c r="F442" t="s">
        <v>754</v>
      </c>
    </row>
    <row r="443" spans="1:6" x14ac:dyDescent="0.25">
      <c r="A443" t="s">
        <v>878</v>
      </c>
      <c r="B443" t="s">
        <v>889</v>
      </c>
      <c r="C443" s="17">
        <v>44569</v>
      </c>
      <c r="D443" s="20">
        <v>0.67186342592592596</v>
      </c>
      <c r="E443" t="s">
        <v>730</v>
      </c>
      <c r="F443" t="s">
        <v>754</v>
      </c>
    </row>
    <row r="444" spans="1:6" x14ac:dyDescent="0.25">
      <c r="A444" t="s">
        <v>876</v>
      </c>
      <c r="B444" t="s">
        <v>28</v>
      </c>
      <c r="C444" s="17">
        <v>44569</v>
      </c>
      <c r="D444" s="20" t="s">
        <v>1514</v>
      </c>
      <c r="E444" t="s">
        <v>877</v>
      </c>
      <c r="F444" t="s">
        <v>754</v>
      </c>
    </row>
    <row r="445" spans="1:6" x14ac:dyDescent="0.25">
      <c r="A445" t="s">
        <v>878</v>
      </c>
      <c r="B445" t="s">
        <v>889</v>
      </c>
      <c r="C445" s="17">
        <v>44569</v>
      </c>
      <c r="D445" s="20">
        <v>0.88218750000000001</v>
      </c>
      <c r="E445" t="s">
        <v>904</v>
      </c>
      <c r="F445" t="s">
        <v>754</v>
      </c>
    </row>
    <row r="446" spans="1:6" x14ac:dyDescent="0.25">
      <c r="A446" t="s">
        <v>876</v>
      </c>
      <c r="B446" t="s">
        <v>28</v>
      </c>
      <c r="C446" s="17">
        <v>44600</v>
      </c>
      <c r="D446" s="20" t="s">
        <v>869</v>
      </c>
      <c r="E446" t="s">
        <v>877</v>
      </c>
      <c r="F446" t="s">
        <v>754</v>
      </c>
    </row>
    <row r="447" spans="1:6" x14ac:dyDescent="0.25">
      <c r="A447" t="s">
        <v>878</v>
      </c>
      <c r="B447" t="s">
        <v>889</v>
      </c>
      <c r="C447" s="17">
        <v>44600</v>
      </c>
      <c r="D447" s="20">
        <v>0.45319444444444401</v>
      </c>
      <c r="E447" t="s">
        <v>730</v>
      </c>
      <c r="F447" t="s">
        <v>754</v>
      </c>
    </row>
    <row r="448" spans="1:6" x14ac:dyDescent="0.25">
      <c r="A448" t="s">
        <v>876</v>
      </c>
      <c r="B448" t="s">
        <v>28</v>
      </c>
      <c r="C448" s="17">
        <v>44600</v>
      </c>
      <c r="D448" s="20" t="s">
        <v>870</v>
      </c>
      <c r="E448" t="s">
        <v>877</v>
      </c>
      <c r="F448" t="s">
        <v>754</v>
      </c>
    </row>
    <row r="449" spans="1:6" x14ac:dyDescent="0.25">
      <c r="A449" t="s">
        <v>878</v>
      </c>
      <c r="B449" t="s">
        <v>889</v>
      </c>
      <c r="C449" s="17">
        <v>44600</v>
      </c>
      <c r="D449" s="20">
        <v>0.45464120370370398</v>
      </c>
      <c r="E449" t="s">
        <v>730</v>
      </c>
      <c r="F449" t="s">
        <v>754</v>
      </c>
    </row>
    <row r="450" spans="1:6" x14ac:dyDescent="0.25">
      <c r="A450" t="s">
        <v>876</v>
      </c>
      <c r="B450" t="s">
        <v>28</v>
      </c>
      <c r="C450" s="17">
        <v>44628</v>
      </c>
      <c r="D450" s="20" t="s">
        <v>1323</v>
      </c>
      <c r="E450" t="s">
        <v>877</v>
      </c>
      <c r="F450" t="s">
        <v>754</v>
      </c>
    </row>
    <row r="451" spans="1:6" x14ac:dyDescent="0.25">
      <c r="A451" t="s">
        <v>878</v>
      </c>
      <c r="B451" t="s">
        <v>889</v>
      </c>
      <c r="C451" s="17">
        <v>44628</v>
      </c>
      <c r="D451" s="20">
        <v>0.62364583333333301</v>
      </c>
      <c r="E451" t="s">
        <v>904</v>
      </c>
      <c r="F451" t="s">
        <v>754</v>
      </c>
    </row>
    <row r="452" spans="1:6" x14ac:dyDescent="0.25">
      <c r="A452" t="s">
        <v>876</v>
      </c>
      <c r="B452" t="s">
        <v>28</v>
      </c>
      <c r="C452" s="17">
        <v>44628</v>
      </c>
      <c r="D452" s="20" t="s">
        <v>1324</v>
      </c>
      <c r="E452" t="s">
        <v>877</v>
      </c>
      <c r="F452" t="s">
        <v>754</v>
      </c>
    </row>
    <row r="453" spans="1:6" x14ac:dyDescent="0.25">
      <c r="A453" t="s">
        <v>878</v>
      </c>
      <c r="B453" t="s">
        <v>889</v>
      </c>
      <c r="C453" s="17">
        <v>44628</v>
      </c>
      <c r="D453" s="20">
        <v>0.81042824074074105</v>
      </c>
      <c r="E453" t="s">
        <v>722</v>
      </c>
      <c r="F453" t="s">
        <v>754</v>
      </c>
    </row>
    <row r="454" spans="1:6" x14ac:dyDescent="0.25">
      <c r="A454" t="s">
        <v>876</v>
      </c>
      <c r="B454" t="s">
        <v>28</v>
      </c>
      <c r="C454" s="17">
        <v>44628</v>
      </c>
      <c r="D454" s="20" t="s">
        <v>1325</v>
      </c>
      <c r="E454" t="s">
        <v>877</v>
      </c>
      <c r="F454" t="s">
        <v>754</v>
      </c>
    </row>
    <row r="455" spans="1:6" x14ac:dyDescent="0.25">
      <c r="A455" t="s">
        <v>878</v>
      </c>
      <c r="B455" t="s">
        <v>889</v>
      </c>
      <c r="C455" s="17">
        <v>44628</v>
      </c>
      <c r="D455" s="20">
        <v>0.88347222222222199</v>
      </c>
      <c r="E455" t="s">
        <v>722</v>
      </c>
      <c r="F455" t="s">
        <v>754</v>
      </c>
    </row>
    <row r="456" spans="1:6" x14ac:dyDescent="0.25">
      <c r="A456" t="s">
        <v>876</v>
      </c>
      <c r="B456" t="s">
        <v>28</v>
      </c>
      <c r="C456" s="17">
        <v>44659</v>
      </c>
      <c r="D456" s="20" t="s">
        <v>1005</v>
      </c>
      <c r="E456" t="s">
        <v>877</v>
      </c>
      <c r="F456" t="s">
        <v>754</v>
      </c>
    </row>
    <row r="457" spans="1:6" x14ac:dyDescent="0.25">
      <c r="A457" t="s">
        <v>878</v>
      </c>
      <c r="B457" t="s">
        <v>889</v>
      </c>
      <c r="C457" s="17">
        <v>44659</v>
      </c>
      <c r="D457" s="20">
        <v>0.79357638888888904</v>
      </c>
      <c r="E457" t="s">
        <v>904</v>
      </c>
      <c r="F457" t="s">
        <v>754</v>
      </c>
    </row>
    <row r="458" spans="1:6" x14ac:dyDescent="0.25">
      <c r="A458" t="s">
        <v>876</v>
      </c>
      <c r="B458" t="s">
        <v>48</v>
      </c>
      <c r="C458" s="17">
        <v>44659</v>
      </c>
      <c r="D458" s="20" t="s">
        <v>1006</v>
      </c>
      <c r="E458" t="s">
        <v>877</v>
      </c>
      <c r="F458" t="s">
        <v>754</v>
      </c>
    </row>
    <row r="459" spans="1:6" x14ac:dyDescent="0.25">
      <c r="A459" t="s">
        <v>878</v>
      </c>
      <c r="B459" t="s">
        <v>1027</v>
      </c>
      <c r="C459" s="17">
        <v>44659</v>
      </c>
      <c r="D459" s="20">
        <v>0.66753472222222199</v>
      </c>
      <c r="E459" t="s">
        <v>905</v>
      </c>
      <c r="F459" t="s">
        <v>754</v>
      </c>
    </row>
    <row r="460" spans="1:6" x14ac:dyDescent="0.25">
      <c r="A460" t="s">
        <v>876</v>
      </c>
      <c r="B460" t="s">
        <v>51</v>
      </c>
      <c r="C460" s="17">
        <v>44569</v>
      </c>
      <c r="D460" s="20" t="s">
        <v>1515</v>
      </c>
      <c r="E460" t="s">
        <v>877</v>
      </c>
      <c r="F460" t="s">
        <v>754</v>
      </c>
    </row>
    <row r="461" spans="1:6" x14ac:dyDescent="0.25">
      <c r="A461" t="s">
        <v>878</v>
      </c>
      <c r="B461" t="s">
        <v>1028</v>
      </c>
      <c r="C461" s="17">
        <v>44569</v>
      </c>
      <c r="D461" s="20">
        <v>0.55084490740740699</v>
      </c>
      <c r="E461" t="s">
        <v>732</v>
      </c>
      <c r="F461" t="s">
        <v>754</v>
      </c>
    </row>
    <row r="462" spans="1:6" x14ac:dyDescent="0.25">
      <c r="A462" t="s">
        <v>876</v>
      </c>
      <c r="B462" t="s">
        <v>51</v>
      </c>
      <c r="C462" s="17">
        <v>44569</v>
      </c>
      <c r="D462" s="20" t="s">
        <v>1516</v>
      </c>
      <c r="E462" t="s">
        <v>877</v>
      </c>
      <c r="F462" t="s">
        <v>754</v>
      </c>
    </row>
    <row r="463" spans="1:6" x14ac:dyDescent="0.25">
      <c r="A463" t="s">
        <v>878</v>
      </c>
      <c r="B463" t="s">
        <v>1028</v>
      </c>
      <c r="C463" s="17">
        <v>44569</v>
      </c>
      <c r="D463" s="20">
        <v>0.78901620370370396</v>
      </c>
      <c r="E463" t="s">
        <v>732</v>
      </c>
      <c r="F463" t="s">
        <v>754</v>
      </c>
    </row>
    <row r="464" spans="1:6" x14ac:dyDescent="0.25">
      <c r="A464" t="s">
        <v>876</v>
      </c>
      <c r="B464" t="s">
        <v>51</v>
      </c>
      <c r="C464" s="17">
        <v>44628</v>
      </c>
      <c r="D464" s="20" t="s">
        <v>1326</v>
      </c>
      <c r="E464" t="s">
        <v>877</v>
      </c>
      <c r="F464" t="s">
        <v>754</v>
      </c>
    </row>
    <row r="465" spans="1:6" x14ac:dyDescent="0.25">
      <c r="A465" t="s">
        <v>878</v>
      </c>
      <c r="B465" t="s">
        <v>1028</v>
      </c>
      <c r="C465" s="17">
        <v>44628</v>
      </c>
      <c r="D465" s="20">
        <v>0.31071759259259302</v>
      </c>
      <c r="E465" t="s">
        <v>733</v>
      </c>
      <c r="F465" t="s">
        <v>754</v>
      </c>
    </row>
    <row r="466" spans="1:6" x14ac:dyDescent="0.25">
      <c r="A466" t="s">
        <v>876</v>
      </c>
      <c r="B466" t="s">
        <v>51</v>
      </c>
      <c r="C466" s="17">
        <v>44628</v>
      </c>
      <c r="D466" s="20" t="s">
        <v>1327</v>
      </c>
      <c r="E466" t="s">
        <v>877</v>
      </c>
      <c r="F466" t="s">
        <v>754</v>
      </c>
    </row>
    <row r="467" spans="1:6" x14ac:dyDescent="0.25">
      <c r="A467" t="s">
        <v>878</v>
      </c>
      <c r="B467" t="s">
        <v>1028</v>
      </c>
      <c r="C467" s="17">
        <v>44628</v>
      </c>
      <c r="D467" s="20">
        <v>0.42969907407407398</v>
      </c>
      <c r="E467" t="s">
        <v>733</v>
      </c>
      <c r="F467" t="s">
        <v>754</v>
      </c>
    </row>
    <row r="468" spans="1:6" x14ac:dyDescent="0.25">
      <c r="A468" t="s">
        <v>876</v>
      </c>
      <c r="B468" t="s">
        <v>51</v>
      </c>
      <c r="C468" s="17">
        <v>44659</v>
      </c>
      <c r="D468" s="20" t="s">
        <v>1007</v>
      </c>
      <c r="E468" t="s">
        <v>877</v>
      </c>
      <c r="F468" t="s">
        <v>754</v>
      </c>
    </row>
    <row r="469" spans="1:6" x14ac:dyDescent="0.25">
      <c r="A469" t="s">
        <v>878</v>
      </c>
      <c r="B469" t="s">
        <v>1028</v>
      </c>
      <c r="C469" s="17">
        <v>44659</v>
      </c>
      <c r="D469" s="20">
        <v>0.79341435185185205</v>
      </c>
      <c r="E469" t="s">
        <v>733</v>
      </c>
      <c r="F469" t="s">
        <v>754</v>
      </c>
    </row>
    <row r="470" spans="1:6" x14ac:dyDescent="0.25">
      <c r="A470" t="s">
        <v>876</v>
      </c>
      <c r="B470" t="s">
        <v>51</v>
      </c>
      <c r="C470" s="17">
        <v>44659</v>
      </c>
      <c r="D470" s="20" t="s">
        <v>1008</v>
      </c>
      <c r="E470" t="s">
        <v>877</v>
      </c>
      <c r="F470" t="s">
        <v>754</v>
      </c>
    </row>
    <row r="471" spans="1:6" x14ac:dyDescent="0.25">
      <c r="A471" t="s">
        <v>878</v>
      </c>
      <c r="B471" t="s">
        <v>1028</v>
      </c>
      <c r="C471" s="17">
        <v>44659</v>
      </c>
      <c r="D471" s="20">
        <v>0.86280092592592605</v>
      </c>
      <c r="E471" t="s">
        <v>733</v>
      </c>
      <c r="F471" t="s">
        <v>754</v>
      </c>
    </row>
    <row r="472" spans="1:6" x14ac:dyDescent="0.25">
      <c r="A472" t="s">
        <v>876</v>
      </c>
      <c r="B472" t="s">
        <v>54</v>
      </c>
      <c r="C472" s="17">
        <v>44600</v>
      </c>
      <c r="D472" s="20" t="s">
        <v>871</v>
      </c>
      <c r="E472" t="s">
        <v>877</v>
      </c>
      <c r="F472" t="s">
        <v>754</v>
      </c>
    </row>
    <row r="473" spans="1:6" x14ac:dyDescent="0.25">
      <c r="A473" t="s">
        <v>878</v>
      </c>
      <c r="B473" t="s">
        <v>890</v>
      </c>
      <c r="C473" s="17">
        <v>44600</v>
      </c>
      <c r="D473" s="20">
        <v>0.41403935185185198</v>
      </c>
      <c r="E473" t="s">
        <v>734</v>
      </c>
      <c r="F473" t="s">
        <v>754</v>
      </c>
    </row>
    <row r="474" spans="1:6" x14ac:dyDescent="0.25">
      <c r="A474" t="s">
        <v>876</v>
      </c>
      <c r="B474" t="s">
        <v>54</v>
      </c>
      <c r="C474" s="17">
        <v>44600</v>
      </c>
      <c r="D474" s="20" t="s">
        <v>872</v>
      </c>
      <c r="E474" t="s">
        <v>877</v>
      </c>
      <c r="F474" t="s">
        <v>754</v>
      </c>
    </row>
    <row r="475" spans="1:6" x14ac:dyDescent="0.25">
      <c r="A475" t="s">
        <v>878</v>
      </c>
      <c r="B475" t="s">
        <v>890</v>
      </c>
      <c r="C475" s="17">
        <v>44600</v>
      </c>
      <c r="D475" s="20">
        <v>0.50105324074074098</v>
      </c>
      <c r="E475" t="s">
        <v>734</v>
      </c>
      <c r="F475" t="s">
        <v>754</v>
      </c>
    </row>
    <row r="476" spans="1:6" x14ac:dyDescent="0.25">
      <c r="A476" t="s">
        <v>876</v>
      </c>
      <c r="B476" t="s">
        <v>54</v>
      </c>
      <c r="C476" s="17">
        <v>44659</v>
      </c>
      <c r="D476" s="20" t="s">
        <v>1009</v>
      </c>
      <c r="E476" t="s">
        <v>877</v>
      </c>
      <c r="F476" t="s">
        <v>754</v>
      </c>
    </row>
    <row r="477" spans="1:6" x14ac:dyDescent="0.25">
      <c r="A477" t="s">
        <v>878</v>
      </c>
      <c r="B477" t="s">
        <v>890</v>
      </c>
      <c r="C477" s="17">
        <v>44659</v>
      </c>
      <c r="D477" s="20">
        <v>0.71755787037037</v>
      </c>
      <c r="E477" t="s">
        <v>734</v>
      </c>
      <c r="F477" t="s">
        <v>754</v>
      </c>
    </row>
    <row r="478" spans="1:6" x14ac:dyDescent="0.25">
      <c r="A478" t="s">
        <v>876</v>
      </c>
      <c r="B478" t="s">
        <v>54</v>
      </c>
      <c r="C478" s="17">
        <v>44659</v>
      </c>
      <c r="D478" s="20" t="s">
        <v>1010</v>
      </c>
      <c r="E478" t="s">
        <v>877</v>
      </c>
      <c r="F478" t="s">
        <v>754</v>
      </c>
    </row>
    <row r="479" spans="1:6" x14ac:dyDescent="0.25">
      <c r="A479" t="s">
        <v>878</v>
      </c>
      <c r="B479" t="s">
        <v>890</v>
      </c>
      <c r="C479" s="17">
        <v>44659</v>
      </c>
      <c r="D479" s="20">
        <v>0.88936342592592599</v>
      </c>
      <c r="E479" t="s">
        <v>734</v>
      </c>
      <c r="F479" t="s">
        <v>754</v>
      </c>
    </row>
    <row r="480" spans="1:6" x14ac:dyDescent="0.25">
      <c r="A480" t="s">
        <v>876</v>
      </c>
      <c r="B480" t="s">
        <v>54</v>
      </c>
      <c r="C480" s="17">
        <v>44659</v>
      </c>
      <c r="D480" s="20" t="s">
        <v>1011</v>
      </c>
      <c r="E480" t="s">
        <v>877</v>
      </c>
      <c r="F480" t="s">
        <v>754</v>
      </c>
    </row>
    <row r="481" spans="1:6" x14ac:dyDescent="0.25">
      <c r="A481" t="s">
        <v>878</v>
      </c>
      <c r="B481" t="s">
        <v>890</v>
      </c>
      <c r="C481" s="17">
        <v>44659</v>
      </c>
      <c r="D481" s="20">
        <v>0.89337962962963002</v>
      </c>
      <c r="E481" t="s">
        <v>734</v>
      </c>
      <c r="F481" t="s">
        <v>754</v>
      </c>
    </row>
    <row r="482" spans="1:6" x14ac:dyDescent="0.25">
      <c r="A482" t="s">
        <v>876</v>
      </c>
      <c r="B482" t="s">
        <v>55</v>
      </c>
      <c r="C482" s="17">
        <v>44569</v>
      </c>
      <c r="D482" s="20" t="s">
        <v>1517</v>
      </c>
      <c r="E482" t="s">
        <v>877</v>
      </c>
      <c r="F482" t="s">
        <v>754</v>
      </c>
    </row>
    <row r="483" spans="1:6" x14ac:dyDescent="0.25">
      <c r="A483" t="s">
        <v>878</v>
      </c>
      <c r="B483" t="s">
        <v>891</v>
      </c>
      <c r="C483" s="17">
        <v>44569</v>
      </c>
      <c r="D483" s="20">
        <v>0.52182870370370404</v>
      </c>
      <c r="E483" t="s">
        <v>1279</v>
      </c>
      <c r="F483" t="s">
        <v>754</v>
      </c>
    </row>
    <row r="484" spans="1:6" x14ac:dyDescent="0.25">
      <c r="A484" t="s">
        <v>876</v>
      </c>
      <c r="B484" t="s">
        <v>55</v>
      </c>
      <c r="C484" s="17">
        <v>44569</v>
      </c>
      <c r="D484" s="20" t="s">
        <v>1518</v>
      </c>
      <c r="E484" t="s">
        <v>877</v>
      </c>
      <c r="F484" t="s">
        <v>754</v>
      </c>
    </row>
    <row r="485" spans="1:6" x14ac:dyDescent="0.25">
      <c r="A485" t="s">
        <v>878</v>
      </c>
      <c r="B485" t="s">
        <v>891</v>
      </c>
      <c r="C485" s="17">
        <v>44569</v>
      </c>
      <c r="D485" s="20">
        <v>0.52678240740740701</v>
      </c>
      <c r="E485" t="s">
        <v>1279</v>
      </c>
      <c r="F485" t="s">
        <v>754</v>
      </c>
    </row>
    <row r="486" spans="1:6" x14ac:dyDescent="0.25">
      <c r="A486" t="s">
        <v>876</v>
      </c>
      <c r="B486" t="s">
        <v>55</v>
      </c>
      <c r="C486" s="17">
        <v>44569</v>
      </c>
      <c r="D486" s="20" t="s">
        <v>1519</v>
      </c>
      <c r="E486" t="s">
        <v>877</v>
      </c>
      <c r="F486" t="s">
        <v>754</v>
      </c>
    </row>
    <row r="487" spans="1:6" x14ac:dyDescent="0.25">
      <c r="A487" t="s">
        <v>878</v>
      </c>
      <c r="B487" t="s">
        <v>891</v>
      </c>
      <c r="C487" s="17">
        <v>44569</v>
      </c>
      <c r="D487" s="20">
        <v>0.64638888888888901</v>
      </c>
      <c r="E487" t="s">
        <v>722</v>
      </c>
      <c r="F487" t="s">
        <v>754</v>
      </c>
    </row>
    <row r="488" spans="1:6" x14ac:dyDescent="0.25">
      <c r="A488" t="s">
        <v>876</v>
      </c>
      <c r="B488" t="s">
        <v>55</v>
      </c>
      <c r="C488" s="17">
        <v>44569</v>
      </c>
      <c r="D488" s="20" t="s">
        <v>1520</v>
      </c>
      <c r="E488" t="s">
        <v>877</v>
      </c>
      <c r="F488" t="s">
        <v>754</v>
      </c>
    </row>
    <row r="489" spans="1:6" x14ac:dyDescent="0.25">
      <c r="A489" t="s">
        <v>878</v>
      </c>
      <c r="B489" t="s">
        <v>891</v>
      </c>
      <c r="C489" s="17">
        <v>44569</v>
      </c>
      <c r="D489" s="20">
        <v>0.79791666666666705</v>
      </c>
      <c r="E489" t="s">
        <v>1279</v>
      </c>
      <c r="F489" t="s">
        <v>754</v>
      </c>
    </row>
    <row r="490" spans="1:6" x14ac:dyDescent="0.25">
      <c r="A490" t="s">
        <v>876</v>
      </c>
      <c r="B490" t="s">
        <v>55</v>
      </c>
      <c r="C490" s="17">
        <v>44569</v>
      </c>
      <c r="D490" s="20" t="s">
        <v>1521</v>
      </c>
      <c r="E490" t="s">
        <v>877</v>
      </c>
      <c r="F490" t="s">
        <v>754</v>
      </c>
    </row>
    <row r="491" spans="1:6" x14ac:dyDescent="0.25">
      <c r="A491" t="s">
        <v>878</v>
      </c>
      <c r="B491" t="s">
        <v>891</v>
      </c>
      <c r="C491" s="17">
        <v>44569</v>
      </c>
      <c r="D491" s="20">
        <v>0.84975694444444405</v>
      </c>
      <c r="E491" t="s">
        <v>722</v>
      </c>
      <c r="F491" t="s">
        <v>754</v>
      </c>
    </row>
    <row r="492" spans="1:6" x14ac:dyDescent="0.25">
      <c r="A492" t="s">
        <v>876</v>
      </c>
      <c r="B492" t="s">
        <v>55</v>
      </c>
      <c r="C492" s="17">
        <v>44600</v>
      </c>
      <c r="D492" s="20" t="s">
        <v>873</v>
      </c>
      <c r="E492" t="s">
        <v>877</v>
      </c>
      <c r="F492" t="s">
        <v>754</v>
      </c>
    </row>
    <row r="493" spans="1:6" x14ac:dyDescent="0.25">
      <c r="A493" t="s">
        <v>878</v>
      </c>
      <c r="B493" t="s">
        <v>891</v>
      </c>
      <c r="C493" s="17">
        <v>44600</v>
      </c>
      <c r="D493" s="20">
        <v>0.61840277777777797</v>
      </c>
      <c r="E493" t="s">
        <v>736</v>
      </c>
      <c r="F493" t="s">
        <v>754</v>
      </c>
    </row>
    <row r="494" spans="1:6" x14ac:dyDescent="0.25">
      <c r="A494" t="s">
        <v>876</v>
      </c>
      <c r="B494" t="s">
        <v>55</v>
      </c>
      <c r="C494" s="17">
        <v>44600</v>
      </c>
      <c r="D494" s="20" t="s">
        <v>874</v>
      </c>
      <c r="E494" t="s">
        <v>877</v>
      </c>
      <c r="F494" t="s">
        <v>754</v>
      </c>
    </row>
    <row r="495" spans="1:6" x14ac:dyDescent="0.25">
      <c r="A495" t="s">
        <v>878</v>
      </c>
      <c r="B495" t="s">
        <v>891</v>
      </c>
      <c r="C495" s="17">
        <v>44600</v>
      </c>
      <c r="D495" s="20">
        <v>0.64311342592592602</v>
      </c>
      <c r="E495" t="s">
        <v>722</v>
      </c>
      <c r="F495" t="s">
        <v>754</v>
      </c>
    </row>
    <row r="496" spans="1:6" x14ac:dyDescent="0.25">
      <c r="A496" t="s">
        <v>876</v>
      </c>
      <c r="B496" t="s">
        <v>55</v>
      </c>
      <c r="C496" s="17">
        <v>44600</v>
      </c>
      <c r="D496" s="20" t="s">
        <v>875</v>
      </c>
      <c r="E496" t="s">
        <v>877</v>
      </c>
      <c r="F496" t="s">
        <v>754</v>
      </c>
    </row>
    <row r="497" spans="1:6" x14ac:dyDescent="0.25">
      <c r="A497" t="s">
        <v>878</v>
      </c>
      <c r="B497" t="s">
        <v>891</v>
      </c>
      <c r="C497" s="17">
        <v>44600</v>
      </c>
      <c r="D497" s="20">
        <v>0.79185185185185203</v>
      </c>
      <c r="E497" t="s">
        <v>722</v>
      </c>
      <c r="F497" t="s">
        <v>754</v>
      </c>
    </row>
    <row r="498" spans="1:6" x14ac:dyDescent="0.25">
      <c r="A498" t="s">
        <v>876</v>
      </c>
      <c r="B498" t="s">
        <v>55</v>
      </c>
      <c r="C498" s="17">
        <v>44628</v>
      </c>
      <c r="D498" s="20" t="s">
        <v>1328</v>
      </c>
      <c r="E498" t="s">
        <v>877</v>
      </c>
      <c r="F498" t="s">
        <v>754</v>
      </c>
    </row>
    <row r="499" spans="1:6" x14ac:dyDescent="0.25">
      <c r="A499" t="s">
        <v>878</v>
      </c>
      <c r="B499" t="s">
        <v>891</v>
      </c>
      <c r="C499" s="17">
        <v>44628</v>
      </c>
      <c r="D499" s="20">
        <v>0.328356481481481</v>
      </c>
      <c r="E499" t="s">
        <v>722</v>
      </c>
      <c r="F499" t="s">
        <v>754</v>
      </c>
    </row>
    <row r="500" spans="1:6" x14ac:dyDescent="0.25">
      <c r="A500" t="s">
        <v>876</v>
      </c>
      <c r="B500" t="s">
        <v>55</v>
      </c>
      <c r="C500" s="17">
        <v>44628</v>
      </c>
      <c r="D500" s="20" t="s">
        <v>1329</v>
      </c>
      <c r="E500" t="s">
        <v>877</v>
      </c>
      <c r="F500" t="s">
        <v>754</v>
      </c>
    </row>
    <row r="501" spans="1:6" x14ac:dyDescent="0.25">
      <c r="A501" t="s">
        <v>878</v>
      </c>
      <c r="B501" t="s">
        <v>891</v>
      </c>
      <c r="C501" s="17">
        <v>44628</v>
      </c>
      <c r="D501" s="20">
        <v>0.33703703703703702</v>
      </c>
      <c r="E501" t="s">
        <v>722</v>
      </c>
      <c r="F501" t="s">
        <v>754</v>
      </c>
    </row>
    <row r="502" spans="1:6" x14ac:dyDescent="0.25">
      <c r="A502" t="s">
        <v>876</v>
      </c>
      <c r="B502" t="s">
        <v>55</v>
      </c>
      <c r="C502" s="17">
        <v>44628</v>
      </c>
      <c r="D502" s="20" t="s">
        <v>1330</v>
      </c>
      <c r="E502" t="s">
        <v>877</v>
      </c>
      <c r="F502" t="s">
        <v>754</v>
      </c>
    </row>
    <row r="503" spans="1:6" x14ac:dyDescent="0.25">
      <c r="A503" t="s">
        <v>878</v>
      </c>
      <c r="B503" t="s">
        <v>891</v>
      </c>
      <c r="C503" s="17">
        <v>44628</v>
      </c>
      <c r="D503" s="20">
        <v>0.44344907407407402</v>
      </c>
      <c r="E503" t="s">
        <v>722</v>
      </c>
      <c r="F503" t="s">
        <v>754</v>
      </c>
    </row>
    <row r="504" spans="1:6" x14ac:dyDescent="0.25">
      <c r="A504" t="s">
        <v>876</v>
      </c>
      <c r="B504" t="s">
        <v>55</v>
      </c>
      <c r="C504" s="17">
        <v>44628</v>
      </c>
      <c r="D504" s="20" t="s">
        <v>1331</v>
      </c>
      <c r="E504" t="s">
        <v>877</v>
      </c>
      <c r="F504" t="s">
        <v>754</v>
      </c>
    </row>
    <row r="505" spans="1:6" x14ac:dyDescent="0.25">
      <c r="A505" t="s">
        <v>878</v>
      </c>
      <c r="B505" t="s">
        <v>891</v>
      </c>
      <c r="C505" s="17">
        <v>44628</v>
      </c>
      <c r="D505" s="20">
        <v>0.48643518518518503</v>
      </c>
      <c r="E505" t="s">
        <v>722</v>
      </c>
      <c r="F505" t="s">
        <v>754</v>
      </c>
    </row>
    <row r="506" spans="1:6" x14ac:dyDescent="0.25">
      <c r="A506" t="s">
        <v>876</v>
      </c>
      <c r="B506" t="s">
        <v>55</v>
      </c>
      <c r="C506" s="17">
        <v>44628</v>
      </c>
      <c r="D506" s="20" t="s">
        <v>1332</v>
      </c>
      <c r="E506" t="s">
        <v>877</v>
      </c>
      <c r="F506" t="s">
        <v>754</v>
      </c>
    </row>
    <row r="507" spans="1:6" x14ac:dyDescent="0.25">
      <c r="A507" t="s">
        <v>878</v>
      </c>
      <c r="B507" t="s">
        <v>891</v>
      </c>
      <c r="C507" s="17">
        <v>44628</v>
      </c>
      <c r="D507" s="20">
        <v>0.49438657407407399</v>
      </c>
      <c r="E507" t="s">
        <v>722</v>
      </c>
      <c r="F507" t="s">
        <v>754</v>
      </c>
    </row>
    <row r="508" spans="1:6" x14ac:dyDescent="0.25">
      <c r="A508" t="s">
        <v>876</v>
      </c>
      <c r="B508" t="s">
        <v>55</v>
      </c>
      <c r="C508" s="17">
        <v>44628</v>
      </c>
      <c r="D508" s="20" t="s">
        <v>1333</v>
      </c>
      <c r="E508" t="s">
        <v>877</v>
      </c>
      <c r="F508" t="s">
        <v>754</v>
      </c>
    </row>
    <row r="509" spans="1:6" x14ac:dyDescent="0.25">
      <c r="A509" t="s">
        <v>878</v>
      </c>
      <c r="B509" t="s">
        <v>891</v>
      </c>
      <c r="C509" s="17">
        <v>44628</v>
      </c>
      <c r="D509" s="20">
        <v>0.61032407407407396</v>
      </c>
      <c r="E509" t="s">
        <v>722</v>
      </c>
      <c r="F509" t="s">
        <v>754</v>
      </c>
    </row>
    <row r="510" spans="1:6" x14ac:dyDescent="0.25">
      <c r="A510" t="s">
        <v>876</v>
      </c>
      <c r="B510" t="s">
        <v>55</v>
      </c>
      <c r="C510" s="17">
        <v>44628</v>
      </c>
      <c r="D510" s="20" t="s">
        <v>1334</v>
      </c>
      <c r="E510" t="s">
        <v>877</v>
      </c>
      <c r="F510" t="s">
        <v>754</v>
      </c>
    </row>
    <row r="511" spans="1:6" x14ac:dyDescent="0.25">
      <c r="A511" t="s">
        <v>878</v>
      </c>
      <c r="B511" t="s">
        <v>891</v>
      </c>
      <c r="C511" s="17">
        <v>44628</v>
      </c>
      <c r="D511" s="20">
        <v>0.627581018518519</v>
      </c>
      <c r="E511" t="s">
        <v>722</v>
      </c>
      <c r="F511" t="s">
        <v>754</v>
      </c>
    </row>
    <row r="512" spans="1:6" x14ac:dyDescent="0.25">
      <c r="A512" t="s">
        <v>876</v>
      </c>
      <c r="B512" t="s">
        <v>55</v>
      </c>
      <c r="C512" s="17">
        <v>44628</v>
      </c>
      <c r="D512" s="20" t="s">
        <v>1335</v>
      </c>
      <c r="E512" t="s">
        <v>877</v>
      </c>
      <c r="F512" t="s">
        <v>754</v>
      </c>
    </row>
    <row r="513" spans="1:6" x14ac:dyDescent="0.25">
      <c r="A513" t="s">
        <v>878</v>
      </c>
      <c r="B513" t="s">
        <v>891</v>
      </c>
      <c r="C513" s="17">
        <v>44628</v>
      </c>
      <c r="D513" s="20">
        <v>0.64068287037036997</v>
      </c>
      <c r="E513" t="s">
        <v>722</v>
      </c>
      <c r="F513" t="s">
        <v>754</v>
      </c>
    </row>
    <row r="514" spans="1:6" x14ac:dyDescent="0.25">
      <c r="A514" t="s">
        <v>876</v>
      </c>
      <c r="B514" t="s">
        <v>55</v>
      </c>
      <c r="C514" s="17">
        <v>44628</v>
      </c>
      <c r="D514" s="20" t="s">
        <v>1336</v>
      </c>
      <c r="E514" t="s">
        <v>877</v>
      </c>
      <c r="F514" t="s">
        <v>754</v>
      </c>
    </row>
    <row r="515" spans="1:6" x14ac:dyDescent="0.25">
      <c r="A515" t="s">
        <v>878</v>
      </c>
      <c r="B515" t="s">
        <v>891</v>
      </c>
      <c r="C515" s="17">
        <v>44628</v>
      </c>
      <c r="D515" s="20">
        <v>0.77055555555555599</v>
      </c>
      <c r="E515" t="s">
        <v>722</v>
      </c>
      <c r="F515" t="s">
        <v>754</v>
      </c>
    </row>
    <row r="516" spans="1:6" x14ac:dyDescent="0.25">
      <c r="A516" t="s">
        <v>876</v>
      </c>
      <c r="B516" t="s">
        <v>55</v>
      </c>
      <c r="C516" s="17">
        <v>44659</v>
      </c>
      <c r="D516" s="20" t="s">
        <v>1012</v>
      </c>
      <c r="E516" t="s">
        <v>877</v>
      </c>
      <c r="F516" t="s">
        <v>754</v>
      </c>
    </row>
    <row r="517" spans="1:6" x14ac:dyDescent="0.25">
      <c r="A517" t="s">
        <v>878</v>
      </c>
      <c r="B517" t="s">
        <v>891</v>
      </c>
      <c r="C517" s="17">
        <v>44659</v>
      </c>
      <c r="D517" s="20">
        <v>0.41545138888888899</v>
      </c>
      <c r="E517" t="s">
        <v>736</v>
      </c>
      <c r="F517" t="s">
        <v>754</v>
      </c>
    </row>
    <row r="518" spans="1:6" x14ac:dyDescent="0.25">
      <c r="A518" t="s">
        <v>876</v>
      </c>
      <c r="B518" t="s">
        <v>55</v>
      </c>
      <c r="C518" s="17">
        <v>44659</v>
      </c>
      <c r="D518" s="20" t="s">
        <v>1013</v>
      </c>
      <c r="E518" t="s">
        <v>877</v>
      </c>
      <c r="F518" t="s">
        <v>754</v>
      </c>
    </row>
    <row r="519" spans="1:6" x14ac:dyDescent="0.25">
      <c r="A519" t="s">
        <v>878</v>
      </c>
      <c r="B519" t="s">
        <v>891</v>
      </c>
      <c r="C519" s="17">
        <v>44659</v>
      </c>
      <c r="D519" s="20">
        <v>0.558460648148148</v>
      </c>
      <c r="E519" t="s">
        <v>736</v>
      </c>
      <c r="F519" t="s">
        <v>754</v>
      </c>
    </row>
    <row r="520" spans="1:6" x14ac:dyDescent="0.25">
      <c r="A520" t="s">
        <v>876</v>
      </c>
      <c r="B520" t="s">
        <v>55</v>
      </c>
      <c r="C520" s="17">
        <v>44659</v>
      </c>
      <c r="D520" s="20" t="s">
        <v>1014</v>
      </c>
      <c r="E520" t="s">
        <v>877</v>
      </c>
      <c r="F520" t="s">
        <v>754</v>
      </c>
    </row>
    <row r="521" spans="1:6" x14ac:dyDescent="0.25">
      <c r="A521" t="s">
        <v>878</v>
      </c>
      <c r="B521" t="s">
        <v>891</v>
      </c>
      <c r="C521" s="17">
        <v>44659</v>
      </c>
      <c r="D521" s="20">
        <v>0.75175925925925902</v>
      </c>
      <c r="E521" t="s">
        <v>722</v>
      </c>
      <c r="F521" t="s">
        <v>754</v>
      </c>
    </row>
    <row r="522" spans="1:6" x14ac:dyDescent="0.25">
      <c r="A522" t="s">
        <v>876</v>
      </c>
      <c r="B522" t="s">
        <v>55</v>
      </c>
      <c r="C522" s="17">
        <v>44659</v>
      </c>
      <c r="D522" s="20" t="s">
        <v>1015</v>
      </c>
      <c r="E522" t="s">
        <v>877</v>
      </c>
      <c r="F522" t="s">
        <v>754</v>
      </c>
    </row>
    <row r="523" spans="1:6" x14ac:dyDescent="0.25">
      <c r="A523" t="s">
        <v>878</v>
      </c>
      <c r="B523" t="s">
        <v>891</v>
      </c>
      <c r="C523" s="17">
        <v>44659</v>
      </c>
      <c r="D523" s="20">
        <v>0.81518518518518501</v>
      </c>
      <c r="E523" t="s">
        <v>722</v>
      </c>
      <c r="F523" t="s">
        <v>754</v>
      </c>
    </row>
    <row r="524" spans="1:6" x14ac:dyDescent="0.25">
      <c r="A524" t="s">
        <v>876</v>
      </c>
      <c r="B524" t="s">
        <v>55</v>
      </c>
      <c r="C524" s="17">
        <v>44659</v>
      </c>
      <c r="D524" s="20" t="s">
        <v>1016</v>
      </c>
      <c r="E524" t="s">
        <v>877</v>
      </c>
      <c r="F524" t="s">
        <v>754</v>
      </c>
    </row>
    <row r="525" spans="1:6" x14ac:dyDescent="0.25">
      <c r="A525" t="s">
        <v>878</v>
      </c>
      <c r="B525" t="s">
        <v>891</v>
      </c>
      <c r="C525" s="17">
        <v>44659</v>
      </c>
      <c r="D525" s="20">
        <v>0.87304398148148099</v>
      </c>
      <c r="E525" t="s">
        <v>722</v>
      </c>
      <c r="F525" t="s">
        <v>754</v>
      </c>
    </row>
    <row r="526" spans="1:6" x14ac:dyDescent="0.25">
      <c r="A526" t="s">
        <v>876</v>
      </c>
      <c r="B526" t="s">
        <v>60</v>
      </c>
      <c r="C526" s="17">
        <v>44569</v>
      </c>
      <c r="D526" s="20" t="s">
        <v>1522</v>
      </c>
      <c r="E526" t="s">
        <v>877</v>
      </c>
      <c r="F526" t="s">
        <v>754</v>
      </c>
    </row>
    <row r="527" spans="1:6" x14ac:dyDescent="0.25">
      <c r="A527" t="s">
        <v>878</v>
      </c>
      <c r="B527" t="s">
        <v>1342</v>
      </c>
      <c r="C527" s="17">
        <v>44569</v>
      </c>
      <c r="D527" s="20">
        <v>0.340520833333333</v>
      </c>
      <c r="E527" t="s">
        <v>738</v>
      </c>
      <c r="F527" t="s">
        <v>754</v>
      </c>
    </row>
    <row r="528" spans="1:6" x14ac:dyDescent="0.25">
      <c r="A528" t="s">
        <v>876</v>
      </c>
      <c r="B528" t="s">
        <v>60</v>
      </c>
      <c r="C528" s="17">
        <v>44569</v>
      </c>
      <c r="D528" s="20" t="s">
        <v>1523</v>
      </c>
      <c r="E528" t="s">
        <v>877</v>
      </c>
      <c r="F528" t="s">
        <v>754</v>
      </c>
    </row>
    <row r="529" spans="1:6" x14ac:dyDescent="0.25">
      <c r="A529" t="s">
        <v>878</v>
      </c>
      <c r="B529" t="s">
        <v>1342</v>
      </c>
      <c r="C529" s="17">
        <v>44569</v>
      </c>
      <c r="D529" s="20">
        <v>0.75291666666666701</v>
      </c>
      <c r="E529" t="s">
        <v>738</v>
      </c>
      <c r="F529" t="s">
        <v>754</v>
      </c>
    </row>
    <row r="530" spans="1:6" x14ac:dyDescent="0.25">
      <c r="A530" t="s">
        <v>876</v>
      </c>
      <c r="B530" t="s">
        <v>60</v>
      </c>
      <c r="C530" s="17">
        <v>44628</v>
      </c>
      <c r="D530" s="20" t="s">
        <v>1337</v>
      </c>
      <c r="E530" t="s">
        <v>877</v>
      </c>
      <c r="F530" t="s">
        <v>754</v>
      </c>
    </row>
    <row r="531" spans="1:6" x14ac:dyDescent="0.25">
      <c r="A531" t="s">
        <v>878</v>
      </c>
      <c r="B531" t="s">
        <v>1342</v>
      </c>
      <c r="C531" s="17">
        <v>44628</v>
      </c>
      <c r="D531" s="20">
        <v>0.54818287037036995</v>
      </c>
      <c r="E531" t="s">
        <v>738</v>
      </c>
      <c r="F531" t="s">
        <v>754</v>
      </c>
    </row>
    <row r="532" spans="1:6" x14ac:dyDescent="0.25">
      <c r="A532" t="s">
        <v>876</v>
      </c>
      <c r="B532" t="s">
        <v>60</v>
      </c>
      <c r="C532" s="17">
        <v>44628</v>
      </c>
      <c r="D532" s="20" t="s">
        <v>1338</v>
      </c>
      <c r="E532" t="s">
        <v>877</v>
      </c>
      <c r="F532" t="s">
        <v>754</v>
      </c>
    </row>
    <row r="533" spans="1:6" x14ac:dyDescent="0.25">
      <c r="A533" t="s">
        <v>878</v>
      </c>
      <c r="B533" t="s">
        <v>1342</v>
      </c>
      <c r="C533" s="17">
        <v>44628</v>
      </c>
      <c r="D533" s="20">
        <v>0.61619212962962999</v>
      </c>
      <c r="E533" t="s">
        <v>738</v>
      </c>
      <c r="F533" t="s">
        <v>754</v>
      </c>
    </row>
    <row r="534" spans="1:6" x14ac:dyDescent="0.25">
      <c r="A534" t="s">
        <v>876</v>
      </c>
      <c r="B534" t="s">
        <v>60</v>
      </c>
      <c r="C534" s="17">
        <v>44628</v>
      </c>
      <c r="D534" s="20" t="s">
        <v>1339</v>
      </c>
      <c r="E534" t="s">
        <v>877</v>
      </c>
      <c r="F534" t="s">
        <v>754</v>
      </c>
    </row>
    <row r="535" spans="1:6" x14ac:dyDescent="0.25">
      <c r="A535" t="s">
        <v>878</v>
      </c>
      <c r="B535" t="s">
        <v>1342</v>
      </c>
      <c r="C535" s="17">
        <v>44628</v>
      </c>
      <c r="D535" s="20">
        <v>0.79886574074074101</v>
      </c>
      <c r="E535" t="s">
        <v>739</v>
      </c>
      <c r="F535" t="s">
        <v>754</v>
      </c>
    </row>
    <row r="536" spans="1:6" x14ac:dyDescent="0.25">
      <c r="A536" t="s">
        <v>876</v>
      </c>
      <c r="B536" t="s">
        <v>60</v>
      </c>
      <c r="C536" s="17">
        <v>44628</v>
      </c>
      <c r="D536" s="20" t="s">
        <v>1340</v>
      </c>
      <c r="E536" t="s">
        <v>877</v>
      </c>
      <c r="F536" t="s">
        <v>754</v>
      </c>
    </row>
    <row r="537" spans="1:6" x14ac:dyDescent="0.25">
      <c r="A537" t="s">
        <v>878</v>
      </c>
      <c r="B537" t="s">
        <v>1342</v>
      </c>
      <c r="C537" s="17">
        <v>44628</v>
      </c>
      <c r="D537" s="20">
        <v>0.80004629629629598</v>
      </c>
      <c r="E537" t="s">
        <v>739</v>
      </c>
      <c r="F537" t="s">
        <v>754</v>
      </c>
    </row>
    <row r="538" spans="1:6" x14ac:dyDescent="0.25">
      <c r="A538" t="s">
        <v>876</v>
      </c>
      <c r="B538" t="s">
        <v>41</v>
      </c>
      <c r="C538" s="17">
        <v>44628</v>
      </c>
      <c r="D538" s="20" t="s">
        <v>1341</v>
      </c>
      <c r="E538" t="s">
        <v>877</v>
      </c>
      <c r="F538" t="s">
        <v>754</v>
      </c>
    </row>
    <row r="539" spans="1:6" x14ac:dyDescent="0.25">
      <c r="A539" t="s">
        <v>878</v>
      </c>
      <c r="B539" t="s">
        <v>1029</v>
      </c>
      <c r="C539" s="17">
        <v>44628</v>
      </c>
      <c r="D539" s="20">
        <v>0.826967592592593</v>
      </c>
      <c r="E539" t="s">
        <v>722</v>
      </c>
      <c r="F539" t="s">
        <v>754</v>
      </c>
    </row>
    <row r="540" spans="1:6" x14ac:dyDescent="0.25">
      <c r="A540" t="s">
        <v>876</v>
      </c>
      <c r="B540" t="s">
        <v>41</v>
      </c>
      <c r="C540" s="17">
        <v>44659</v>
      </c>
      <c r="D540" s="20" t="s">
        <v>1017</v>
      </c>
      <c r="E540" t="s">
        <v>877</v>
      </c>
      <c r="F540" t="s">
        <v>754</v>
      </c>
    </row>
    <row r="541" spans="1:6" x14ac:dyDescent="0.25">
      <c r="A541" t="s">
        <v>878</v>
      </c>
      <c r="B541" t="s">
        <v>1029</v>
      </c>
      <c r="C541" s="17">
        <v>44659</v>
      </c>
      <c r="D541" s="20">
        <v>0.52847222222222201</v>
      </c>
      <c r="E541" t="s">
        <v>741</v>
      </c>
      <c r="F541" t="s">
        <v>754</v>
      </c>
    </row>
    <row r="542" spans="1:6" x14ac:dyDescent="0.25">
      <c r="A542" t="s">
        <v>876</v>
      </c>
      <c r="B542" t="s">
        <v>41</v>
      </c>
      <c r="C542" s="17">
        <v>44659</v>
      </c>
      <c r="D542" s="20" t="s">
        <v>1018</v>
      </c>
      <c r="E542" t="s">
        <v>877</v>
      </c>
      <c r="F542" t="s">
        <v>754</v>
      </c>
    </row>
    <row r="543" spans="1:6" x14ac:dyDescent="0.25">
      <c r="A543" t="s">
        <v>878</v>
      </c>
      <c r="B543" t="s">
        <v>1029</v>
      </c>
      <c r="C543" s="17">
        <v>44659</v>
      </c>
      <c r="D543" s="20">
        <v>0.92265046296296305</v>
      </c>
      <c r="E543" t="s">
        <v>722</v>
      </c>
      <c r="F543" t="s">
        <v>754</v>
      </c>
    </row>
    <row r="544" spans="1:6" x14ac:dyDescent="0.25">
      <c r="A544" t="s">
        <v>876</v>
      </c>
      <c r="B544" t="s">
        <v>66</v>
      </c>
      <c r="C544" s="17">
        <v>44659</v>
      </c>
      <c r="D544" s="20" t="s">
        <v>1019</v>
      </c>
      <c r="E544" t="s">
        <v>877</v>
      </c>
      <c r="F544" t="s">
        <v>754</v>
      </c>
    </row>
    <row r="545" spans="1:6" x14ac:dyDescent="0.25">
      <c r="A545" t="s">
        <v>878</v>
      </c>
      <c r="B545" t="s">
        <v>1030</v>
      </c>
      <c r="C545" s="17">
        <v>44659</v>
      </c>
      <c r="D545" s="20">
        <v>0.82988425925925902</v>
      </c>
      <c r="E545" t="s">
        <v>722</v>
      </c>
      <c r="F545" t="s">
        <v>754</v>
      </c>
    </row>
    <row r="546" spans="1:6" x14ac:dyDescent="0.25">
      <c r="A546" t="s">
        <v>876</v>
      </c>
      <c r="B546" t="s">
        <v>66</v>
      </c>
      <c r="C546" s="17">
        <v>44659</v>
      </c>
      <c r="D546" s="20" t="s">
        <v>1020</v>
      </c>
      <c r="E546" t="s">
        <v>877</v>
      </c>
      <c r="F546" t="s">
        <v>754</v>
      </c>
    </row>
    <row r="547" spans="1:6" x14ac:dyDescent="0.25">
      <c r="A547" t="s">
        <v>878</v>
      </c>
      <c r="B547" t="s">
        <v>1030</v>
      </c>
      <c r="C547" s="17">
        <v>44659</v>
      </c>
      <c r="D547" s="20">
        <v>0.82988425925925902</v>
      </c>
      <c r="E547" t="s">
        <v>722</v>
      </c>
      <c r="F547" t="s">
        <v>754</v>
      </c>
    </row>
    <row r="548" spans="1:6" x14ac:dyDescent="0.25">
      <c r="A548" t="s">
        <v>876</v>
      </c>
      <c r="B548" t="s">
        <v>43</v>
      </c>
      <c r="C548" s="17">
        <v>44659</v>
      </c>
      <c r="D548" s="20" t="s">
        <v>1021</v>
      </c>
      <c r="E548" t="s">
        <v>877</v>
      </c>
      <c r="F548" t="s">
        <v>754</v>
      </c>
    </row>
    <row r="549" spans="1:6" x14ac:dyDescent="0.25">
      <c r="A549" t="s">
        <v>878</v>
      </c>
      <c r="B549" t="s">
        <v>1031</v>
      </c>
      <c r="C549" s="17">
        <v>44659</v>
      </c>
      <c r="D549" s="20">
        <v>0.395243055555556</v>
      </c>
      <c r="E549" t="s">
        <v>742</v>
      </c>
      <c r="F549" t="s">
        <v>754</v>
      </c>
    </row>
    <row r="550" spans="1:6" x14ac:dyDescent="0.25">
      <c r="A550" t="s">
        <v>876</v>
      </c>
      <c r="B550" t="s">
        <v>43</v>
      </c>
      <c r="C550" s="17">
        <v>44659</v>
      </c>
      <c r="D550" s="20" t="s">
        <v>1022</v>
      </c>
      <c r="E550" t="s">
        <v>877</v>
      </c>
      <c r="F550" t="s">
        <v>754</v>
      </c>
    </row>
    <row r="551" spans="1:6" x14ac:dyDescent="0.25">
      <c r="A551" t="s">
        <v>878</v>
      </c>
      <c r="B551" t="s">
        <v>1031</v>
      </c>
      <c r="C551" s="17">
        <v>44659</v>
      </c>
      <c r="D551" s="20">
        <v>0.83163194444444499</v>
      </c>
      <c r="E551" t="s">
        <v>901</v>
      </c>
      <c r="F551" t="s">
        <v>754</v>
      </c>
    </row>
    <row r="552" spans="1:6" x14ac:dyDescent="0.25">
      <c r="A552" t="s">
        <v>876</v>
      </c>
      <c r="B552" t="s">
        <v>43</v>
      </c>
      <c r="C552" s="17">
        <v>44659</v>
      </c>
      <c r="D552" s="20" t="s">
        <v>1023</v>
      </c>
      <c r="E552" t="s">
        <v>877</v>
      </c>
      <c r="F552" t="s">
        <v>754</v>
      </c>
    </row>
    <row r="553" spans="1:6" x14ac:dyDescent="0.25">
      <c r="A553" t="s">
        <v>878</v>
      </c>
      <c r="B553" t="s">
        <v>1031</v>
      </c>
      <c r="C553" s="17">
        <v>44659</v>
      </c>
      <c r="D553" s="20">
        <v>0.90768518518518504</v>
      </c>
      <c r="E553" t="s">
        <v>722</v>
      </c>
      <c r="F553" t="s">
        <v>754</v>
      </c>
    </row>
    <row r="554" spans="1:6" x14ac:dyDescent="0.25">
      <c r="A554" t="s">
        <v>876</v>
      </c>
      <c r="B554" t="s">
        <v>43</v>
      </c>
      <c r="C554" s="17">
        <v>44659</v>
      </c>
      <c r="D554" s="20" t="s">
        <v>1024</v>
      </c>
      <c r="E554" t="s">
        <v>877</v>
      </c>
      <c r="F554" t="s">
        <v>754</v>
      </c>
    </row>
    <row r="555" spans="1:6" x14ac:dyDescent="0.25">
      <c r="A555" t="s">
        <v>878</v>
      </c>
      <c r="B555" t="s">
        <v>1031</v>
      </c>
      <c r="C555" s="17">
        <v>44659</v>
      </c>
      <c r="D555" s="20">
        <v>0.94592592592592595</v>
      </c>
      <c r="E555" t="s">
        <v>722</v>
      </c>
      <c r="F555" t="s">
        <v>754</v>
      </c>
    </row>
    <row r="556" spans="1:6" x14ac:dyDescent="0.25">
      <c r="A556" t="s">
        <v>876</v>
      </c>
      <c r="B556" t="s">
        <v>43</v>
      </c>
      <c r="C556" s="17">
        <v>44659</v>
      </c>
      <c r="D556" s="20" t="s">
        <v>1025</v>
      </c>
      <c r="E556" t="s">
        <v>877</v>
      </c>
      <c r="F556" t="s">
        <v>754</v>
      </c>
    </row>
    <row r="557" spans="1:6" x14ac:dyDescent="0.25">
      <c r="A557" t="s">
        <v>878</v>
      </c>
      <c r="B557" t="s">
        <v>1031</v>
      </c>
      <c r="C557" s="17">
        <v>44659</v>
      </c>
      <c r="D557" s="20">
        <v>0.94906250000000003</v>
      </c>
      <c r="E557" t="s">
        <v>722</v>
      </c>
      <c r="F557" t="s">
        <v>754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94ED7-3FE8-4601-8A80-7E7024E41E71}">
  <sheetPr codeName="Hoja425"/>
  <dimension ref="A3:W287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15.710937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3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3" outlineLevel="2" x14ac:dyDescent="0.25">
      <c r="A4" s="8" t="s">
        <v>82</v>
      </c>
      <c r="B4" s="8" t="s">
        <v>83</v>
      </c>
      <c r="C4" s="8">
        <v>30</v>
      </c>
      <c r="D4" s="8" t="s">
        <v>84</v>
      </c>
      <c r="E4" s="8">
        <v>184</v>
      </c>
      <c r="F4" s="8" t="s">
        <v>85</v>
      </c>
      <c r="G4" s="8">
        <v>8651</v>
      </c>
      <c r="H4" s="8" t="s">
        <v>38</v>
      </c>
      <c r="I4" s="8">
        <v>1000008651</v>
      </c>
      <c r="J4" s="8">
        <v>29426650</v>
      </c>
      <c r="K4" s="39">
        <v>44774.014224537037</v>
      </c>
      <c r="L4" s="8" t="s">
        <v>752</v>
      </c>
      <c r="M4" s="8" t="s">
        <v>88</v>
      </c>
      <c r="N4" s="8">
        <v>44.5</v>
      </c>
      <c r="O4" s="8">
        <v>14.22</v>
      </c>
      <c r="P4" s="8">
        <v>2.2799999999999998</v>
      </c>
      <c r="Q4" s="8">
        <v>4.2561999999999998</v>
      </c>
      <c r="R4" s="8">
        <v>0.68100000000000005</v>
      </c>
      <c r="S4" s="8" t="s">
        <v>475</v>
      </c>
      <c r="T4" s="8">
        <v>6</v>
      </c>
      <c r="U4" s="8" t="s">
        <v>89</v>
      </c>
      <c r="V4" s="8"/>
      <c r="W4" t="s">
        <v>754</v>
      </c>
    </row>
    <row r="5" spans="1:23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29429071</v>
      </c>
      <c r="K5" s="38">
        <v>44774.510694444441</v>
      </c>
      <c r="L5" t="s">
        <v>752</v>
      </c>
      <c r="M5" t="s">
        <v>88</v>
      </c>
      <c r="N5">
        <v>54.5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1526</v>
      </c>
      <c r="T5">
        <v>6</v>
      </c>
      <c r="U5" t="s">
        <v>89</v>
      </c>
      <c r="W5" t="s">
        <v>754</v>
      </c>
    </row>
    <row r="6" spans="1:23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29429097</v>
      </c>
      <c r="K6" s="38">
        <v>44774.512789351851</v>
      </c>
      <c r="L6" t="s">
        <v>752</v>
      </c>
      <c r="M6" t="s">
        <v>88</v>
      </c>
      <c r="N6">
        <v>138.5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1528</v>
      </c>
      <c r="T6">
        <v>6</v>
      </c>
      <c r="U6" t="s">
        <v>89</v>
      </c>
      <c r="W6" t="s">
        <v>754</v>
      </c>
    </row>
    <row r="7" spans="1:23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29429117</v>
      </c>
      <c r="K7" s="38">
        <v>44774.514317129629</v>
      </c>
      <c r="L7" t="s">
        <v>752</v>
      </c>
      <c r="M7" t="s">
        <v>88</v>
      </c>
      <c r="N7">
        <v>698.5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591</v>
      </c>
      <c r="T7">
        <v>6</v>
      </c>
      <c r="U7" t="s">
        <v>89</v>
      </c>
      <c r="W7" t="s">
        <v>754</v>
      </c>
    </row>
    <row r="8" spans="1:23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29443739</v>
      </c>
      <c r="K8" s="38">
        <v>44776.535393518519</v>
      </c>
      <c r="L8" t="s">
        <v>752</v>
      </c>
      <c r="M8" t="s">
        <v>88</v>
      </c>
      <c r="N8">
        <v>178.5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1345</v>
      </c>
      <c r="T8">
        <v>6</v>
      </c>
      <c r="U8" t="s">
        <v>89</v>
      </c>
      <c r="W8" t="s">
        <v>754</v>
      </c>
    </row>
    <row r="9" spans="1:23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8651</v>
      </c>
      <c r="H9" t="s">
        <v>38</v>
      </c>
      <c r="I9">
        <v>1000008651</v>
      </c>
      <c r="J9">
        <v>29445159</v>
      </c>
      <c r="K9" s="38">
        <v>44776.639490740738</v>
      </c>
      <c r="L9" t="s">
        <v>752</v>
      </c>
      <c r="M9" t="s">
        <v>88</v>
      </c>
      <c r="N9">
        <v>392.5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1347</v>
      </c>
      <c r="T9">
        <v>6</v>
      </c>
      <c r="U9" t="s">
        <v>89</v>
      </c>
      <c r="W9" t="s">
        <v>754</v>
      </c>
    </row>
    <row r="10" spans="1:23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8651</v>
      </c>
      <c r="H10" t="s">
        <v>38</v>
      </c>
      <c r="I10">
        <v>1000008651</v>
      </c>
      <c r="J10">
        <v>29450537</v>
      </c>
      <c r="K10" s="38">
        <v>44777.384340277778</v>
      </c>
      <c r="L10" t="s">
        <v>752</v>
      </c>
      <c r="M10" t="s">
        <v>88</v>
      </c>
      <c r="N10">
        <v>106.5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1033</v>
      </c>
      <c r="T10">
        <v>6</v>
      </c>
      <c r="U10" t="s">
        <v>89</v>
      </c>
      <c r="W10" t="s">
        <v>754</v>
      </c>
    </row>
    <row r="11" spans="1:23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8651</v>
      </c>
      <c r="H11" t="s">
        <v>38</v>
      </c>
      <c r="I11">
        <v>1000008651</v>
      </c>
      <c r="J11">
        <v>29459734</v>
      </c>
      <c r="K11" s="38">
        <v>44777.73704861111</v>
      </c>
      <c r="L11" t="s">
        <v>752</v>
      </c>
      <c r="M11" t="s">
        <v>88</v>
      </c>
      <c r="N11">
        <v>153.5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1035</v>
      </c>
      <c r="T11">
        <v>6</v>
      </c>
      <c r="U11" t="s">
        <v>89</v>
      </c>
      <c r="W11" t="s">
        <v>754</v>
      </c>
    </row>
    <row r="12" spans="1:23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8651</v>
      </c>
      <c r="H12" t="s">
        <v>38</v>
      </c>
      <c r="I12">
        <v>1000008651</v>
      </c>
      <c r="J12">
        <v>29459889</v>
      </c>
      <c r="K12" s="38">
        <v>44777.741319444445</v>
      </c>
      <c r="L12" t="s">
        <v>752</v>
      </c>
      <c r="M12" t="s">
        <v>88</v>
      </c>
      <c r="N12">
        <v>799.5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1037</v>
      </c>
      <c r="T12">
        <v>6</v>
      </c>
      <c r="U12" t="s">
        <v>89</v>
      </c>
      <c r="W12" t="s">
        <v>754</v>
      </c>
    </row>
    <row r="13" spans="1:23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8651</v>
      </c>
      <c r="H13" t="s">
        <v>38</v>
      </c>
      <c r="I13">
        <v>1000008651</v>
      </c>
      <c r="J13">
        <v>29468794</v>
      </c>
      <c r="K13" s="38">
        <v>44777.919699074075</v>
      </c>
      <c r="L13" t="s">
        <v>752</v>
      </c>
      <c r="M13" t="s">
        <v>88</v>
      </c>
      <c r="N13">
        <v>110.5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1039</v>
      </c>
      <c r="T13">
        <v>6</v>
      </c>
      <c r="U13" t="s">
        <v>89</v>
      </c>
      <c r="W13" t="s">
        <v>754</v>
      </c>
    </row>
    <row r="14" spans="1:23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29428650</v>
      </c>
      <c r="K14" s="38">
        <v>44774.486666666664</v>
      </c>
      <c r="L14" t="s">
        <v>752</v>
      </c>
      <c r="M14" t="s">
        <v>88</v>
      </c>
      <c r="N14">
        <v>178.5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341</v>
      </c>
      <c r="T14">
        <v>6</v>
      </c>
      <c r="U14" t="s">
        <v>89</v>
      </c>
      <c r="W14" t="s">
        <v>754</v>
      </c>
    </row>
    <row r="15" spans="1:23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8652</v>
      </c>
      <c r="H15" t="s">
        <v>40</v>
      </c>
      <c r="I15">
        <v>1000008652</v>
      </c>
      <c r="J15">
        <v>29429669</v>
      </c>
      <c r="K15" s="38">
        <v>44774.549293981479</v>
      </c>
      <c r="L15" t="s">
        <v>752</v>
      </c>
      <c r="M15" t="s">
        <v>88</v>
      </c>
      <c r="N15">
        <v>383.5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1532</v>
      </c>
      <c r="T15">
        <v>6</v>
      </c>
      <c r="U15" t="s">
        <v>89</v>
      </c>
      <c r="W15" t="s">
        <v>754</v>
      </c>
    </row>
    <row r="16" spans="1:23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8652</v>
      </c>
      <c r="H16" t="s">
        <v>40</v>
      </c>
      <c r="I16">
        <v>1000008652</v>
      </c>
      <c r="J16">
        <v>29433691</v>
      </c>
      <c r="K16" s="38">
        <v>44774.89607638889</v>
      </c>
      <c r="L16" t="s">
        <v>753</v>
      </c>
      <c r="M16" t="s">
        <v>88</v>
      </c>
      <c r="N16">
        <v>300.5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582</v>
      </c>
      <c r="T16">
        <v>6</v>
      </c>
      <c r="U16" t="s">
        <v>89</v>
      </c>
      <c r="W16" t="s">
        <v>754</v>
      </c>
    </row>
    <row r="17" spans="1:23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8652</v>
      </c>
      <c r="H17" t="s">
        <v>40</v>
      </c>
      <c r="I17">
        <v>1000008652</v>
      </c>
      <c r="J17">
        <v>29447610</v>
      </c>
      <c r="K17" s="38">
        <v>44776.798206018517</v>
      </c>
      <c r="L17" t="s">
        <v>752</v>
      </c>
      <c r="M17" t="s">
        <v>88</v>
      </c>
      <c r="N17">
        <v>99.5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1349</v>
      </c>
      <c r="T17">
        <v>6</v>
      </c>
      <c r="U17" t="s">
        <v>89</v>
      </c>
      <c r="W17" t="s">
        <v>754</v>
      </c>
    </row>
    <row r="18" spans="1:23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8652</v>
      </c>
      <c r="H18" t="s">
        <v>40</v>
      </c>
      <c r="I18">
        <v>1000008652</v>
      </c>
      <c r="J18">
        <v>29449210</v>
      </c>
      <c r="K18" s="38">
        <v>44776.875219907408</v>
      </c>
      <c r="L18" t="s">
        <v>752</v>
      </c>
      <c r="M18" t="s">
        <v>88</v>
      </c>
      <c r="N18">
        <v>53.5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1351</v>
      </c>
      <c r="T18">
        <v>6</v>
      </c>
      <c r="U18" t="s">
        <v>89</v>
      </c>
      <c r="W18" t="s">
        <v>754</v>
      </c>
    </row>
    <row r="19" spans="1:23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29442963</v>
      </c>
      <c r="K19" s="38">
        <v>44776.487962962965</v>
      </c>
      <c r="L19" t="s">
        <v>753</v>
      </c>
      <c r="M19" t="s">
        <v>88</v>
      </c>
      <c r="N19">
        <v>625.5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1353</v>
      </c>
      <c r="T19">
        <v>6</v>
      </c>
      <c r="U19" t="s">
        <v>89</v>
      </c>
      <c r="W19" t="s">
        <v>754</v>
      </c>
    </row>
    <row r="20" spans="1:23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29443345</v>
      </c>
      <c r="K20" s="38">
        <v>44776.51085648148</v>
      </c>
      <c r="L20" t="s">
        <v>752</v>
      </c>
      <c r="M20" t="s">
        <v>88</v>
      </c>
      <c r="N20">
        <v>1121.5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1355</v>
      </c>
      <c r="T20">
        <v>6</v>
      </c>
      <c r="U20" t="s">
        <v>89</v>
      </c>
      <c r="W20" t="s">
        <v>754</v>
      </c>
    </row>
    <row r="21" spans="1:23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29450139</v>
      </c>
      <c r="K21" s="38">
        <v>44777.356527777774</v>
      </c>
      <c r="L21" t="s">
        <v>752</v>
      </c>
      <c r="M21" t="s">
        <v>88</v>
      </c>
      <c r="N21">
        <v>477.5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1041</v>
      </c>
      <c r="T21">
        <v>6</v>
      </c>
      <c r="U21" t="s">
        <v>89</v>
      </c>
      <c r="W21" t="s">
        <v>754</v>
      </c>
    </row>
    <row r="22" spans="1:23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29450148</v>
      </c>
      <c r="K22" s="38">
        <v>44777.357210648152</v>
      </c>
      <c r="L22" t="s">
        <v>752</v>
      </c>
      <c r="M22" t="s">
        <v>88</v>
      </c>
      <c r="N22">
        <v>619.5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1043</v>
      </c>
      <c r="T22">
        <v>6</v>
      </c>
      <c r="U22" t="s">
        <v>89</v>
      </c>
      <c r="W22" t="s">
        <v>754</v>
      </c>
    </row>
    <row r="23" spans="1:23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8653</v>
      </c>
      <c r="H23" t="s">
        <v>37</v>
      </c>
      <c r="I23">
        <v>1000008653</v>
      </c>
      <c r="J23">
        <v>29450160</v>
      </c>
      <c r="K23" s="38">
        <v>44777.357916666668</v>
      </c>
      <c r="L23" t="s">
        <v>752</v>
      </c>
      <c r="M23" t="s">
        <v>88</v>
      </c>
      <c r="N23">
        <v>500.5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1045</v>
      </c>
      <c r="T23">
        <v>6</v>
      </c>
      <c r="U23" t="s">
        <v>89</v>
      </c>
      <c r="W23" t="s">
        <v>754</v>
      </c>
    </row>
    <row r="24" spans="1:23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29458546</v>
      </c>
      <c r="K24" s="38">
        <v>44777.700821759259</v>
      </c>
      <c r="L24" t="s">
        <v>752</v>
      </c>
      <c r="M24" t="s">
        <v>88</v>
      </c>
      <c r="N24">
        <v>159.5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659</v>
      </c>
      <c r="T24">
        <v>6</v>
      </c>
      <c r="U24" t="s">
        <v>89</v>
      </c>
      <c r="W24" t="s">
        <v>754</v>
      </c>
    </row>
    <row r="25" spans="1:23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8654</v>
      </c>
      <c r="H25" t="s">
        <v>30</v>
      </c>
      <c r="I25">
        <v>1000008654</v>
      </c>
      <c r="J25">
        <v>29427220</v>
      </c>
      <c r="K25" s="38">
        <v>44774.396006944444</v>
      </c>
      <c r="L25" t="s">
        <v>752</v>
      </c>
      <c r="M25" t="s">
        <v>88</v>
      </c>
      <c r="N25">
        <v>101.5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1535</v>
      </c>
      <c r="T25">
        <v>6</v>
      </c>
      <c r="U25" t="s">
        <v>89</v>
      </c>
      <c r="W25" t="s">
        <v>754</v>
      </c>
    </row>
    <row r="26" spans="1:23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8654</v>
      </c>
      <c r="H26" t="s">
        <v>30</v>
      </c>
      <c r="I26">
        <v>1000008654</v>
      </c>
      <c r="J26">
        <v>29428993</v>
      </c>
      <c r="K26" s="38">
        <v>44774.506701388891</v>
      </c>
      <c r="L26" t="s">
        <v>752</v>
      </c>
      <c r="M26" t="s">
        <v>88</v>
      </c>
      <c r="N26">
        <v>45.5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1537</v>
      </c>
      <c r="T26">
        <v>6</v>
      </c>
      <c r="U26" t="s">
        <v>89</v>
      </c>
      <c r="W26" t="s">
        <v>754</v>
      </c>
    </row>
    <row r="27" spans="1:23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8654</v>
      </c>
      <c r="H27" t="s">
        <v>30</v>
      </c>
      <c r="I27">
        <v>1000008654</v>
      </c>
      <c r="J27">
        <v>29430703</v>
      </c>
      <c r="K27" s="38">
        <v>44774.631168981483</v>
      </c>
      <c r="L27" t="s">
        <v>752</v>
      </c>
      <c r="M27" t="s">
        <v>88</v>
      </c>
      <c r="N27">
        <v>86.5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449</v>
      </c>
      <c r="T27">
        <v>6</v>
      </c>
      <c r="U27" t="s">
        <v>89</v>
      </c>
      <c r="W27" t="s">
        <v>754</v>
      </c>
    </row>
    <row r="28" spans="1:23" outlineLevel="2" x14ac:dyDescent="0.25">
      <c r="A28" s="7" t="s">
        <v>82</v>
      </c>
      <c r="B28" s="7" t="s">
        <v>83</v>
      </c>
      <c r="C28" s="7">
        <v>30</v>
      </c>
      <c r="D28" s="7" t="s">
        <v>84</v>
      </c>
      <c r="E28" s="7">
        <v>184</v>
      </c>
      <c r="F28" s="7" t="s">
        <v>85</v>
      </c>
      <c r="G28" s="7">
        <v>8654</v>
      </c>
      <c r="H28" s="7" t="s">
        <v>30</v>
      </c>
      <c r="I28" s="7">
        <v>1000008654</v>
      </c>
      <c r="J28" s="7">
        <v>29431821</v>
      </c>
      <c r="K28" s="40">
        <v>44774.7424537037</v>
      </c>
      <c r="L28" s="7" t="s">
        <v>752</v>
      </c>
      <c r="M28" s="7" t="s">
        <v>88</v>
      </c>
      <c r="N28" s="7">
        <v>180.5</v>
      </c>
      <c r="O28" s="7">
        <v>14.22</v>
      </c>
      <c r="P28" s="7">
        <v>2.2799999999999998</v>
      </c>
      <c r="Q28" s="7">
        <v>4.2561999999999998</v>
      </c>
      <c r="R28" s="7">
        <v>0.68100000000000005</v>
      </c>
      <c r="S28" s="7" t="s">
        <v>333</v>
      </c>
      <c r="T28" s="7">
        <v>6</v>
      </c>
      <c r="U28" s="7" t="s">
        <v>89</v>
      </c>
      <c r="W28" t="s">
        <v>754</v>
      </c>
    </row>
    <row r="29" spans="1:23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29432163</v>
      </c>
      <c r="K29" s="38">
        <v>44774.768680555557</v>
      </c>
      <c r="L29" t="s">
        <v>753</v>
      </c>
      <c r="M29" t="s">
        <v>88</v>
      </c>
      <c r="N29">
        <v>133.5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1540</v>
      </c>
      <c r="T29">
        <v>6</v>
      </c>
      <c r="U29" t="s">
        <v>89</v>
      </c>
      <c r="W29" t="s">
        <v>754</v>
      </c>
    </row>
    <row r="30" spans="1:23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29432385</v>
      </c>
      <c r="K30" s="38">
        <v>44774.785509259258</v>
      </c>
      <c r="L30" t="s">
        <v>752</v>
      </c>
      <c r="M30" t="s">
        <v>88</v>
      </c>
      <c r="N30">
        <v>384.5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1542</v>
      </c>
      <c r="T30">
        <v>6</v>
      </c>
      <c r="U30" t="s">
        <v>89</v>
      </c>
      <c r="W30" t="s">
        <v>754</v>
      </c>
    </row>
    <row r="31" spans="1:23" outlineLevel="2" x14ac:dyDescent="0.25">
      <c r="A31" s="8" t="s">
        <v>82</v>
      </c>
      <c r="B31" s="8" t="s">
        <v>83</v>
      </c>
      <c r="C31" s="8">
        <v>30</v>
      </c>
      <c r="D31" s="8" t="s">
        <v>84</v>
      </c>
      <c r="E31" s="8">
        <v>184</v>
      </c>
      <c r="F31" s="8" t="s">
        <v>85</v>
      </c>
      <c r="G31" s="8">
        <v>8654</v>
      </c>
      <c r="H31" s="8" t="s">
        <v>30</v>
      </c>
      <c r="I31" s="8">
        <v>1000008654</v>
      </c>
      <c r="J31" s="8">
        <v>29432400</v>
      </c>
      <c r="K31" s="39">
        <v>44774.786481481482</v>
      </c>
      <c r="L31" s="8" t="s">
        <v>752</v>
      </c>
      <c r="M31" s="8" t="s">
        <v>88</v>
      </c>
      <c r="N31" s="8">
        <v>175.5</v>
      </c>
      <c r="O31" s="8">
        <v>14.22</v>
      </c>
      <c r="P31" s="8">
        <v>2.2799999999999998</v>
      </c>
      <c r="Q31" s="8">
        <v>4.2561999999999998</v>
      </c>
      <c r="R31" s="8">
        <v>0.68100000000000005</v>
      </c>
      <c r="S31" s="8" t="s">
        <v>1611</v>
      </c>
      <c r="T31" s="8">
        <v>6</v>
      </c>
      <c r="U31" s="8" t="s">
        <v>89</v>
      </c>
      <c r="V31" s="8"/>
      <c r="W31" t="s">
        <v>754</v>
      </c>
    </row>
    <row r="32" spans="1:23" outlineLevel="2" x14ac:dyDescent="0.25">
      <c r="A32" t="s">
        <v>82</v>
      </c>
      <c r="B32" t="s">
        <v>83</v>
      </c>
      <c r="C32">
        <v>30</v>
      </c>
      <c r="D32" t="s">
        <v>84</v>
      </c>
      <c r="E32">
        <v>184</v>
      </c>
      <c r="F32" t="s">
        <v>85</v>
      </c>
      <c r="G32">
        <v>8654</v>
      </c>
      <c r="H32" t="s">
        <v>30</v>
      </c>
      <c r="I32">
        <v>1000008654</v>
      </c>
      <c r="J32">
        <v>29434305</v>
      </c>
      <c r="K32" s="38">
        <v>44775.38653935185</v>
      </c>
      <c r="L32" t="s">
        <v>752</v>
      </c>
      <c r="M32" t="s">
        <v>88</v>
      </c>
      <c r="N32">
        <v>194.5</v>
      </c>
      <c r="O32">
        <v>14.22</v>
      </c>
      <c r="P32">
        <v>2.2799999999999998</v>
      </c>
      <c r="Q32">
        <v>4.2561999999999998</v>
      </c>
      <c r="R32">
        <v>0.68100000000000005</v>
      </c>
      <c r="S32" t="s">
        <v>756</v>
      </c>
      <c r="T32">
        <v>6</v>
      </c>
      <c r="U32" t="s">
        <v>89</v>
      </c>
      <c r="W32" t="s">
        <v>754</v>
      </c>
    </row>
    <row r="33" spans="1:23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8654</v>
      </c>
      <c r="H33" t="s">
        <v>30</v>
      </c>
      <c r="I33">
        <v>1000008654</v>
      </c>
      <c r="J33">
        <v>29435959</v>
      </c>
      <c r="K33" s="38">
        <v>44775.508055555554</v>
      </c>
      <c r="L33" t="s">
        <v>752</v>
      </c>
      <c r="M33" t="s">
        <v>88</v>
      </c>
      <c r="N33">
        <v>3086.5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657</v>
      </c>
      <c r="T33">
        <v>6</v>
      </c>
      <c r="U33" t="s">
        <v>89</v>
      </c>
      <c r="W33" t="s">
        <v>754</v>
      </c>
    </row>
    <row r="34" spans="1:23" outlineLevel="2" x14ac:dyDescent="0.25">
      <c r="A34" s="8" t="s">
        <v>82</v>
      </c>
      <c r="B34" s="8" t="s">
        <v>83</v>
      </c>
      <c r="C34" s="8">
        <v>30</v>
      </c>
      <c r="D34" s="8" t="s">
        <v>84</v>
      </c>
      <c r="E34" s="8">
        <v>184</v>
      </c>
      <c r="F34" s="8" t="s">
        <v>85</v>
      </c>
      <c r="G34" s="8">
        <v>8654</v>
      </c>
      <c r="H34" s="8" t="s">
        <v>30</v>
      </c>
      <c r="I34" s="8">
        <v>1000008654</v>
      </c>
      <c r="J34" s="8">
        <v>29435995</v>
      </c>
      <c r="K34" s="39">
        <v>44775.509930555556</v>
      </c>
      <c r="L34" s="8" t="s">
        <v>753</v>
      </c>
      <c r="M34" s="8" t="s">
        <v>88</v>
      </c>
      <c r="N34" s="8">
        <v>116.5</v>
      </c>
      <c r="O34" s="8">
        <v>14.22</v>
      </c>
      <c r="P34" s="8">
        <v>2.2799999999999998</v>
      </c>
      <c r="Q34" s="8">
        <v>4.2561999999999998</v>
      </c>
      <c r="R34" s="8">
        <v>0.68100000000000005</v>
      </c>
      <c r="S34" s="8" t="s">
        <v>658</v>
      </c>
      <c r="T34" s="8">
        <v>6</v>
      </c>
      <c r="U34" s="8" t="s">
        <v>89</v>
      </c>
      <c r="V34" s="8"/>
      <c r="W34" t="s">
        <v>754</v>
      </c>
    </row>
    <row r="35" spans="1:23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8654</v>
      </c>
      <c r="H35" t="s">
        <v>30</v>
      </c>
      <c r="I35">
        <v>1000008654</v>
      </c>
      <c r="J35">
        <v>29436846</v>
      </c>
      <c r="K35" s="38">
        <v>44775.571296296293</v>
      </c>
      <c r="L35" t="s">
        <v>753</v>
      </c>
      <c r="M35" t="s">
        <v>88</v>
      </c>
      <c r="N35">
        <v>154.5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759</v>
      </c>
      <c r="T35">
        <v>6</v>
      </c>
      <c r="U35" t="s">
        <v>89</v>
      </c>
      <c r="W35" t="s">
        <v>754</v>
      </c>
    </row>
    <row r="36" spans="1:23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8654</v>
      </c>
      <c r="H36" t="s">
        <v>30</v>
      </c>
      <c r="I36">
        <v>1000008654</v>
      </c>
      <c r="J36">
        <v>29436868</v>
      </c>
      <c r="K36" s="38">
        <v>44775.572870370372</v>
      </c>
      <c r="L36" t="s">
        <v>753</v>
      </c>
      <c r="M36" t="s">
        <v>88</v>
      </c>
      <c r="N36">
        <v>109.5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761</v>
      </c>
      <c r="T36">
        <v>6</v>
      </c>
      <c r="U36" t="s">
        <v>89</v>
      </c>
      <c r="W36" t="s">
        <v>754</v>
      </c>
    </row>
    <row r="37" spans="1:23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8654</v>
      </c>
      <c r="H37" t="s">
        <v>30</v>
      </c>
      <c r="I37">
        <v>1000008654</v>
      </c>
      <c r="J37">
        <v>29437359</v>
      </c>
      <c r="K37" s="38">
        <v>44775.614895833336</v>
      </c>
      <c r="L37" t="s">
        <v>753</v>
      </c>
      <c r="M37" t="s">
        <v>88</v>
      </c>
      <c r="N37">
        <v>153.5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584</v>
      </c>
      <c r="T37">
        <v>6</v>
      </c>
      <c r="U37" t="s">
        <v>89</v>
      </c>
      <c r="W37" t="s">
        <v>754</v>
      </c>
    </row>
    <row r="38" spans="1:23" outlineLevel="2" x14ac:dyDescent="0.25">
      <c r="A38" s="8" t="s">
        <v>82</v>
      </c>
      <c r="B38" s="8" t="s">
        <v>83</v>
      </c>
      <c r="C38" s="8">
        <v>30</v>
      </c>
      <c r="D38" s="8" t="s">
        <v>84</v>
      </c>
      <c r="E38" s="8">
        <v>184</v>
      </c>
      <c r="F38" s="8" t="s">
        <v>85</v>
      </c>
      <c r="G38" s="8">
        <v>8654</v>
      </c>
      <c r="H38" s="8" t="s">
        <v>30</v>
      </c>
      <c r="I38" s="8">
        <v>1000008654</v>
      </c>
      <c r="J38" s="8">
        <v>29439218</v>
      </c>
      <c r="K38" s="39">
        <v>44775.7809375</v>
      </c>
      <c r="L38" s="8" t="s">
        <v>752</v>
      </c>
      <c r="M38" s="8" t="s">
        <v>88</v>
      </c>
      <c r="N38" s="8">
        <v>106.5</v>
      </c>
      <c r="O38" s="8">
        <v>14.22</v>
      </c>
      <c r="P38" s="8">
        <v>2.2799999999999998</v>
      </c>
      <c r="Q38" s="8">
        <v>4.2561999999999998</v>
      </c>
      <c r="R38" s="8">
        <v>0.68100000000000005</v>
      </c>
      <c r="S38" s="8" t="s">
        <v>817</v>
      </c>
      <c r="T38" s="8">
        <v>6</v>
      </c>
      <c r="U38" s="8" t="s">
        <v>89</v>
      </c>
      <c r="V38" s="8"/>
      <c r="W38" t="s">
        <v>754</v>
      </c>
    </row>
    <row r="39" spans="1:23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8654</v>
      </c>
      <c r="H39" t="s">
        <v>30</v>
      </c>
      <c r="I39">
        <v>1000008654</v>
      </c>
      <c r="J39">
        <v>29442492</v>
      </c>
      <c r="K39" s="38">
        <v>44776.461875000001</v>
      </c>
      <c r="L39" t="s">
        <v>752</v>
      </c>
      <c r="M39" t="s">
        <v>88</v>
      </c>
      <c r="N39">
        <v>80.5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1357</v>
      </c>
      <c r="T39">
        <v>6</v>
      </c>
      <c r="U39" t="s">
        <v>89</v>
      </c>
      <c r="W39" t="s">
        <v>754</v>
      </c>
    </row>
    <row r="40" spans="1:23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8654</v>
      </c>
      <c r="H40" t="s">
        <v>30</v>
      </c>
      <c r="I40">
        <v>1000008654</v>
      </c>
      <c r="J40">
        <v>29444695</v>
      </c>
      <c r="K40" s="38">
        <v>44776.601550925923</v>
      </c>
      <c r="L40" t="s">
        <v>752</v>
      </c>
      <c r="M40" t="s">
        <v>88</v>
      </c>
      <c r="N40">
        <v>183.5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1359</v>
      </c>
      <c r="T40">
        <v>6</v>
      </c>
      <c r="U40" t="s">
        <v>89</v>
      </c>
      <c r="W40" t="s">
        <v>754</v>
      </c>
    </row>
    <row r="41" spans="1:23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8654</v>
      </c>
      <c r="H41" t="s">
        <v>30</v>
      </c>
      <c r="I41">
        <v>1000008654</v>
      </c>
      <c r="J41">
        <v>29447033</v>
      </c>
      <c r="K41" s="38">
        <v>44776.770844907405</v>
      </c>
      <c r="L41" t="s">
        <v>752</v>
      </c>
      <c r="M41" t="s">
        <v>88</v>
      </c>
      <c r="N41">
        <v>190.5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1361</v>
      </c>
      <c r="T41">
        <v>6</v>
      </c>
      <c r="U41" t="s">
        <v>89</v>
      </c>
      <c r="W41" t="s">
        <v>754</v>
      </c>
    </row>
    <row r="42" spans="1:23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8654</v>
      </c>
      <c r="H42" t="s">
        <v>30</v>
      </c>
      <c r="I42">
        <v>1000008654</v>
      </c>
      <c r="J42">
        <v>29450413</v>
      </c>
      <c r="K42" s="38">
        <v>44777.377997685187</v>
      </c>
      <c r="L42" t="s">
        <v>752</v>
      </c>
      <c r="M42" t="s">
        <v>88</v>
      </c>
      <c r="N42">
        <v>189.5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1048</v>
      </c>
      <c r="T42">
        <v>6</v>
      </c>
      <c r="U42" t="s">
        <v>89</v>
      </c>
      <c r="W42" t="s">
        <v>754</v>
      </c>
    </row>
    <row r="43" spans="1:23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8654</v>
      </c>
      <c r="H43" t="s">
        <v>30</v>
      </c>
      <c r="I43">
        <v>1000008654</v>
      </c>
      <c r="J43">
        <v>29450433</v>
      </c>
      <c r="K43" s="38">
        <v>44777.378796296296</v>
      </c>
      <c r="L43" t="s">
        <v>752</v>
      </c>
      <c r="M43" t="s">
        <v>88</v>
      </c>
      <c r="N43">
        <v>45.5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1050</v>
      </c>
      <c r="T43">
        <v>6</v>
      </c>
      <c r="U43" t="s">
        <v>89</v>
      </c>
      <c r="W43" t="s">
        <v>754</v>
      </c>
    </row>
    <row r="44" spans="1:23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8655</v>
      </c>
      <c r="H44" t="s">
        <v>29</v>
      </c>
      <c r="I44">
        <v>1000008655</v>
      </c>
      <c r="J44">
        <v>29442556</v>
      </c>
      <c r="K44" s="38">
        <v>44776.46533564815</v>
      </c>
      <c r="L44" t="s">
        <v>752</v>
      </c>
      <c r="M44" t="s">
        <v>88</v>
      </c>
      <c r="N44">
        <v>44.5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1363</v>
      </c>
      <c r="T44">
        <v>6</v>
      </c>
      <c r="U44" t="s">
        <v>89</v>
      </c>
      <c r="W44" t="s">
        <v>754</v>
      </c>
    </row>
    <row r="45" spans="1:23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8655</v>
      </c>
      <c r="H45" t="s">
        <v>29</v>
      </c>
      <c r="I45">
        <v>1000008655</v>
      </c>
      <c r="J45">
        <v>29444990</v>
      </c>
      <c r="K45" s="38">
        <v>44776.626423611109</v>
      </c>
      <c r="L45" t="s">
        <v>752</v>
      </c>
      <c r="M45" t="s">
        <v>88</v>
      </c>
      <c r="N45">
        <v>238.5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1365</v>
      </c>
      <c r="T45">
        <v>6</v>
      </c>
      <c r="U45" t="s">
        <v>89</v>
      </c>
      <c r="W45" t="s">
        <v>754</v>
      </c>
    </row>
    <row r="46" spans="1:23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8655</v>
      </c>
      <c r="H46" t="s">
        <v>29</v>
      </c>
      <c r="I46">
        <v>1000008655</v>
      </c>
      <c r="J46">
        <v>29455916</v>
      </c>
      <c r="K46" s="38">
        <v>44777.594884259262</v>
      </c>
      <c r="L46" t="s">
        <v>752</v>
      </c>
      <c r="M46" t="s">
        <v>88</v>
      </c>
      <c r="N46">
        <v>71.5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1052</v>
      </c>
      <c r="T46">
        <v>6</v>
      </c>
      <c r="U46" t="s">
        <v>89</v>
      </c>
      <c r="W46" t="s">
        <v>754</v>
      </c>
    </row>
    <row r="47" spans="1:23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8655</v>
      </c>
      <c r="H47" t="s">
        <v>29</v>
      </c>
      <c r="I47">
        <v>1000008655</v>
      </c>
      <c r="J47">
        <v>29460096</v>
      </c>
      <c r="K47" s="38">
        <v>44777.746689814812</v>
      </c>
      <c r="L47" t="s">
        <v>752</v>
      </c>
      <c r="M47" t="s">
        <v>88</v>
      </c>
      <c r="N47">
        <v>185.5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1054</v>
      </c>
      <c r="T47">
        <v>6</v>
      </c>
      <c r="U47" t="s">
        <v>89</v>
      </c>
      <c r="W47" t="s">
        <v>754</v>
      </c>
    </row>
    <row r="48" spans="1:23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8655</v>
      </c>
      <c r="H48" t="s">
        <v>29</v>
      </c>
      <c r="I48">
        <v>1000008655</v>
      </c>
      <c r="J48">
        <v>29460518</v>
      </c>
      <c r="K48" s="38">
        <v>44777.757337962961</v>
      </c>
      <c r="L48" t="s">
        <v>752</v>
      </c>
      <c r="M48" t="s">
        <v>88</v>
      </c>
      <c r="N48">
        <v>109.5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514</v>
      </c>
      <c r="T48">
        <v>6</v>
      </c>
      <c r="U48" t="s">
        <v>89</v>
      </c>
      <c r="W48" t="s">
        <v>754</v>
      </c>
    </row>
    <row r="49" spans="1:23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8655</v>
      </c>
      <c r="H49" t="s">
        <v>29</v>
      </c>
      <c r="I49">
        <v>1000008655</v>
      </c>
      <c r="J49">
        <v>29461007</v>
      </c>
      <c r="K49" s="38">
        <v>44777.768587962964</v>
      </c>
      <c r="L49" t="s">
        <v>752</v>
      </c>
      <c r="M49" t="s">
        <v>88</v>
      </c>
      <c r="N49">
        <v>178.5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1057</v>
      </c>
      <c r="T49">
        <v>6</v>
      </c>
      <c r="U49" t="s">
        <v>89</v>
      </c>
      <c r="W49" t="s">
        <v>754</v>
      </c>
    </row>
    <row r="50" spans="1:23" outlineLevel="2" x14ac:dyDescent="0.25">
      <c r="A50" t="s">
        <v>82</v>
      </c>
      <c r="B50" t="s">
        <v>83</v>
      </c>
      <c r="C50">
        <v>30</v>
      </c>
      <c r="D50" t="s">
        <v>84</v>
      </c>
      <c r="E50">
        <v>184</v>
      </c>
      <c r="F50" t="s">
        <v>85</v>
      </c>
      <c r="G50">
        <v>8655</v>
      </c>
      <c r="H50" t="s">
        <v>29</v>
      </c>
      <c r="I50">
        <v>1000008655</v>
      </c>
      <c r="J50">
        <v>29464032</v>
      </c>
      <c r="K50" s="38">
        <v>44777.823634259257</v>
      </c>
      <c r="L50" t="s">
        <v>752</v>
      </c>
      <c r="M50" t="s">
        <v>88</v>
      </c>
      <c r="N50">
        <v>105.5</v>
      </c>
      <c r="O50">
        <v>14.22</v>
      </c>
      <c r="P50">
        <v>2.2799999999999998</v>
      </c>
      <c r="Q50">
        <v>4.2561999999999998</v>
      </c>
      <c r="R50">
        <v>0.68100000000000005</v>
      </c>
      <c r="S50" t="s">
        <v>1059</v>
      </c>
      <c r="T50">
        <v>6</v>
      </c>
      <c r="U50" t="s">
        <v>89</v>
      </c>
      <c r="W50" t="s">
        <v>754</v>
      </c>
    </row>
    <row r="51" spans="1:23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8655</v>
      </c>
      <c r="H51" t="s">
        <v>29</v>
      </c>
      <c r="I51">
        <v>1000008655</v>
      </c>
      <c r="J51">
        <v>29464743</v>
      </c>
      <c r="K51" s="38">
        <v>44777.834745370368</v>
      </c>
      <c r="L51" t="s">
        <v>752</v>
      </c>
      <c r="M51" t="s">
        <v>88</v>
      </c>
      <c r="N51">
        <v>3241.5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1061</v>
      </c>
      <c r="T51">
        <v>6</v>
      </c>
      <c r="U51" t="s">
        <v>89</v>
      </c>
      <c r="W51" t="s">
        <v>754</v>
      </c>
    </row>
    <row r="52" spans="1:23" outlineLevel="2" x14ac:dyDescent="0.25">
      <c r="A52" s="8" t="s">
        <v>82</v>
      </c>
      <c r="B52" s="8" t="s">
        <v>83</v>
      </c>
      <c r="C52" s="8">
        <v>30</v>
      </c>
      <c r="D52" s="8" t="s">
        <v>84</v>
      </c>
      <c r="E52" s="8">
        <v>184</v>
      </c>
      <c r="F52" s="8" t="s">
        <v>85</v>
      </c>
      <c r="G52" s="8">
        <v>8655</v>
      </c>
      <c r="H52" s="8" t="s">
        <v>29</v>
      </c>
      <c r="I52" s="8">
        <v>1000008655</v>
      </c>
      <c r="J52" s="8">
        <v>29467192</v>
      </c>
      <c r="K52" s="39">
        <v>44777.876319444447</v>
      </c>
      <c r="L52" s="8" t="s">
        <v>752</v>
      </c>
      <c r="M52" s="8" t="s">
        <v>88</v>
      </c>
      <c r="N52" s="8">
        <v>99.5</v>
      </c>
      <c r="O52" s="8">
        <v>14.22</v>
      </c>
      <c r="P52" s="8">
        <v>2.2799999999999998</v>
      </c>
      <c r="Q52" s="8">
        <v>4.2561999999999998</v>
      </c>
      <c r="R52" s="8">
        <v>0.68100000000000005</v>
      </c>
      <c r="S52" s="8" t="s">
        <v>1258</v>
      </c>
      <c r="T52" s="8">
        <v>6</v>
      </c>
      <c r="U52" s="8" t="s">
        <v>89</v>
      </c>
      <c r="V52" s="8"/>
      <c r="W52" t="s">
        <v>754</v>
      </c>
    </row>
    <row r="53" spans="1:23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8655</v>
      </c>
      <c r="H53" t="s">
        <v>29</v>
      </c>
      <c r="I53">
        <v>1000008655</v>
      </c>
      <c r="J53">
        <v>29467985</v>
      </c>
      <c r="K53" s="38">
        <v>44777.894930555558</v>
      </c>
      <c r="L53" t="s">
        <v>752</v>
      </c>
      <c r="M53" t="s">
        <v>88</v>
      </c>
      <c r="N53">
        <v>132.5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1063</v>
      </c>
      <c r="T53">
        <v>6</v>
      </c>
      <c r="U53" t="s">
        <v>89</v>
      </c>
      <c r="W53" t="s">
        <v>754</v>
      </c>
    </row>
    <row r="54" spans="1:23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8656</v>
      </c>
      <c r="H54" t="s">
        <v>31</v>
      </c>
      <c r="I54">
        <v>1000008656</v>
      </c>
      <c r="J54">
        <v>29431520</v>
      </c>
      <c r="K54" s="38">
        <v>44774.716261574074</v>
      </c>
      <c r="L54" t="s">
        <v>752</v>
      </c>
      <c r="M54" t="s">
        <v>88</v>
      </c>
      <c r="N54">
        <v>125.5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1544</v>
      </c>
      <c r="T54">
        <v>6</v>
      </c>
      <c r="U54" t="s">
        <v>89</v>
      </c>
      <c r="W54" t="s">
        <v>754</v>
      </c>
    </row>
    <row r="55" spans="1:23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8656</v>
      </c>
      <c r="H55" t="s">
        <v>31</v>
      </c>
      <c r="I55">
        <v>1000008656</v>
      </c>
      <c r="J55">
        <v>29437864</v>
      </c>
      <c r="K55" s="38">
        <v>44775.662152777775</v>
      </c>
      <c r="L55" t="s">
        <v>752</v>
      </c>
      <c r="M55" t="s">
        <v>88</v>
      </c>
      <c r="N55">
        <v>51.5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396</v>
      </c>
      <c r="T55">
        <v>6</v>
      </c>
      <c r="U55" t="s">
        <v>89</v>
      </c>
      <c r="W55" t="s">
        <v>754</v>
      </c>
    </row>
    <row r="56" spans="1:23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8656</v>
      </c>
      <c r="H56" t="s">
        <v>31</v>
      </c>
      <c r="I56">
        <v>1000008656</v>
      </c>
      <c r="J56">
        <v>29460622</v>
      </c>
      <c r="K56" s="38">
        <v>44777.759733796294</v>
      </c>
      <c r="L56" t="s">
        <v>752</v>
      </c>
      <c r="M56" t="s">
        <v>88</v>
      </c>
      <c r="N56">
        <v>215.5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1065</v>
      </c>
      <c r="T56">
        <v>6</v>
      </c>
      <c r="U56" t="s">
        <v>89</v>
      </c>
      <c r="W56" t="s">
        <v>754</v>
      </c>
    </row>
    <row r="57" spans="1:23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8656</v>
      </c>
      <c r="H57" t="s">
        <v>31</v>
      </c>
      <c r="I57">
        <v>1000008656</v>
      </c>
      <c r="J57">
        <v>29465992</v>
      </c>
      <c r="K57" s="38">
        <v>44777.855300925927</v>
      </c>
      <c r="L57" t="s">
        <v>752</v>
      </c>
      <c r="M57" t="s">
        <v>88</v>
      </c>
      <c r="N57">
        <v>172.5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1067</v>
      </c>
      <c r="T57">
        <v>6</v>
      </c>
      <c r="U57" t="s">
        <v>89</v>
      </c>
      <c r="W57" t="s">
        <v>754</v>
      </c>
    </row>
    <row r="58" spans="1:23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8656</v>
      </c>
      <c r="H58" t="s">
        <v>31</v>
      </c>
      <c r="I58">
        <v>1000008656</v>
      </c>
      <c r="J58">
        <v>29468744</v>
      </c>
      <c r="K58" s="38">
        <v>44777.917071759257</v>
      </c>
      <c r="L58" t="s">
        <v>752</v>
      </c>
      <c r="M58" t="s">
        <v>88</v>
      </c>
      <c r="N58">
        <v>189.5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1069</v>
      </c>
      <c r="T58">
        <v>6</v>
      </c>
      <c r="U58" t="s">
        <v>89</v>
      </c>
      <c r="W58" t="s">
        <v>754</v>
      </c>
    </row>
    <row r="59" spans="1:23" outlineLevel="2" x14ac:dyDescent="0.25">
      <c r="A59" t="s">
        <v>82</v>
      </c>
      <c r="B59" t="s">
        <v>83</v>
      </c>
      <c r="C59">
        <v>30</v>
      </c>
      <c r="D59" t="s">
        <v>84</v>
      </c>
      <c r="E59">
        <v>184</v>
      </c>
      <c r="F59" t="s">
        <v>85</v>
      </c>
      <c r="G59">
        <v>8657</v>
      </c>
      <c r="H59" t="s">
        <v>44</v>
      </c>
      <c r="I59">
        <v>1000008657</v>
      </c>
      <c r="J59">
        <v>29426957</v>
      </c>
      <c r="K59" s="38">
        <v>44774.369733796295</v>
      </c>
      <c r="L59" t="s">
        <v>752</v>
      </c>
      <c r="M59" t="s">
        <v>88</v>
      </c>
      <c r="N59">
        <v>44.5</v>
      </c>
      <c r="O59">
        <v>14.22</v>
      </c>
      <c r="P59">
        <v>2.2799999999999998</v>
      </c>
      <c r="Q59">
        <v>4.2561999999999998</v>
      </c>
      <c r="R59">
        <v>0.68100000000000005</v>
      </c>
      <c r="S59" t="s">
        <v>351</v>
      </c>
      <c r="T59">
        <v>6</v>
      </c>
      <c r="U59" t="s">
        <v>89</v>
      </c>
      <c r="W59" t="s">
        <v>754</v>
      </c>
    </row>
    <row r="60" spans="1:23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8657</v>
      </c>
      <c r="H60" t="s">
        <v>44</v>
      </c>
      <c r="I60">
        <v>1000008657</v>
      </c>
      <c r="J60">
        <v>29429852</v>
      </c>
      <c r="K60" s="38">
        <v>44774.562094907407</v>
      </c>
      <c r="L60" t="s">
        <v>753</v>
      </c>
      <c r="M60" t="s">
        <v>88</v>
      </c>
      <c r="N60">
        <v>102.5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1547</v>
      </c>
      <c r="T60">
        <v>6</v>
      </c>
      <c r="U60" t="s">
        <v>89</v>
      </c>
      <c r="W60" t="s">
        <v>754</v>
      </c>
    </row>
    <row r="61" spans="1:23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8657</v>
      </c>
      <c r="H61" t="s">
        <v>44</v>
      </c>
      <c r="I61">
        <v>1000008657</v>
      </c>
      <c r="J61">
        <v>29435239</v>
      </c>
      <c r="K61" s="38">
        <v>44775.459386574075</v>
      </c>
      <c r="L61" t="s">
        <v>752</v>
      </c>
      <c r="M61" t="s">
        <v>88</v>
      </c>
      <c r="N61">
        <v>79.5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765</v>
      </c>
      <c r="T61">
        <v>6</v>
      </c>
      <c r="U61" t="s">
        <v>89</v>
      </c>
      <c r="W61" t="s">
        <v>754</v>
      </c>
    </row>
    <row r="62" spans="1:23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8657</v>
      </c>
      <c r="H62" t="s">
        <v>44</v>
      </c>
      <c r="I62">
        <v>1000008657</v>
      </c>
      <c r="J62">
        <v>29435351</v>
      </c>
      <c r="K62" s="38">
        <v>44775.467094907406</v>
      </c>
      <c r="L62" t="s">
        <v>752</v>
      </c>
      <c r="M62" t="s">
        <v>88</v>
      </c>
      <c r="N62">
        <v>99.5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655</v>
      </c>
      <c r="T62">
        <v>6</v>
      </c>
      <c r="U62" t="s">
        <v>89</v>
      </c>
      <c r="W62" t="s">
        <v>754</v>
      </c>
    </row>
    <row r="63" spans="1:23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8657</v>
      </c>
      <c r="H63" t="s">
        <v>44</v>
      </c>
      <c r="I63">
        <v>1000008657</v>
      </c>
      <c r="J63">
        <v>29447235</v>
      </c>
      <c r="K63" s="38">
        <v>44776.781458333331</v>
      </c>
      <c r="L63" t="s">
        <v>752</v>
      </c>
      <c r="M63" t="s">
        <v>88</v>
      </c>
      <c r="N63">
        <v>211.5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1367</v>
      </c>
      <c r="T63">
        <v>6</v>
      </c>
      <c r="U63" t="s">
        <v>89</v>
      </c>
      <c r="W63" t="s">
        <v>754</v>
      </c>
    </row>
    <row r="64" spans="1:23" outlineLevel="2" x14ac:dyDescent="0.25">
      <c r="A64" s="8" t="s">
        <v>82</v>
      </c>
      <c r="B64" s="8" t="s">
        <v>83</v>
      </c>
      <c r="C64" s="8">
        <v>30</v>
      </c>
      <c r="D64" s="8" t="s">
        <v>84</v>
      </c>
      <c r="E64" s="8">
        <v>184</v>
      </c>
      <c r="F64" s="8" t="s">
        <v>85</v>
      </c>
      <c r="G64" s="8">
        <v>8657</v>
      </c>
      <c r="H64" s="8" t="s">
        <v>44</v>
      </c>
      <c r="I64" s="8">
        <v>1000008657</v>
      </c>
      <c r="J64" s="8">
        <v>29448841</v>
      </c>
      <c r="K64" s="39">
        <v>44776.854062500002</v>
      </c>
      <c r="L64" s="8" t="s">
        <v>752</v>
      </c>
      <c r="M64" s="8" t="s">
        <v>88</v>
      </c>
      <c r="N64" s="8">
        <v>63.5</v>
      </c>
      <c r="O64" s="8">
        <v>14.22</v>
      </c>
      <c r="P64" s="8">
        <v>2.2799999999999998</v>
      </c>
      <c r="Q64" s="8">
        <v>4.2561999999999998</v>
      </c>
      <c r="R64" s="8">
        <v>0.68100000000000005</v>
      </c>
      <c r="S64" s="8" t="s">
        <v>411</v>
      </c>
      <c r="T64" s="8">
        <v>6</v>
      </c>
      <c r="U64" s="8" t="s">
        <v>89</v>
      </c>
      <c r="V64" s="8"/>
      <c r="W64" t="s">
        <v>754</v>
      </c>
    </row>
    <row r="65" spans="1:23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8657</v>
      </c>
      <c r="H65" t="s">
        <v>44</v>
      </c>
      <c r="I65">
        <v>1000008657</v>
      </c>
      <c r="J65">
        <v>29449694</v>
      </c>
      <c r="K65" s="38">
        <v>44776.931562500002</v>
      </c>
      <c r="L65" t="s">
        <v>752</v>
      </c>
      <c r="M65" t="s">
        <v>88</v>
      </c>
      <c r="N65">
        <v>541.5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1369</v>
      </c>
      <c r="T65">
        <v>6</v>
      </c>
      <c r="U65" t="s">
        <v>89</v>
      </c>
      <c r="W65" t="s">
        <v>754</v>
      </c>
    </row>
    <row r="66" spans="1:23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8657</v>
      </c>
      <c r="H66" t="s">
        <v>44</v>
      </c>
      <c r="I66">
        <v>1000008657</v>
      </c>
      <c r="J66">
        <v>29452719</v>
      </c>
      <c r="K66" s="38">
        <v>44777.473749999997</v>
      </c>
      <c r="L66" t="s">
        <v>752</v>
      </c>
      <c r="M66" t="s">
        <v>88</v>
      </c>
      <c r="N66">
        <v>93.5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1071</v>
      </c>
      <c r="T66">
        <v>6</v>
      </c>
      <c r="U66" t="s">
        <v>89</v>
      </c>
      <c r="W66" t="s">
        <v>754</v>
      </c>
    </row>
    <row r="67" spans="1:23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8657</v>
      </c>
      <c r="H67" t="s">
        <v>44</v>
      </c>
      <c r="I67">
        <v>1000008657</v>
      </c>
      <c r="J67">
        <v>29458037</v>
      </c>
      <c r="K67" s="38">
        <v>44777.681597222225</v>
      </c>
      <c r="L67" t="s">
        <v>752</v>
      </c>
      <c r="M67" t="s">
        <v>88</v>
      </c>
      <c r="N67">
        <v>203.5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1073</v>
      </c>
      <c r="T67">
        <v>6</v>
      </c>
      <c r="U67" t="s">
        <v>89</v>
      </c>
      <c r="W67" t="s">
        <v>754</v>
      </c>
    </row>
    <row r="68" spans="1:23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8657</v>
      </c>
      <c r="H68" t="s">
        <v>44</v>
      </c>
      <c r="I68">
        <v>1000008657</v>
      </c>
      <c r="J68">
        <v>29463878</v>
      </c>
      <c r="K68" s="38">
        <v>44777.821238425924</v>
      </c>
      <c r="L68" t="s">
        <v>752</v>
      </c>
      <c r="M68" t="s">
        <v>88</v>
      </c>
      <c r="N68">
        <v>319.5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652</v>
      </c>
      <c r="T68">
        <v>6</v>
      </c>
      <c r="U68" t="s">
        <v>89</v>
      </c>
      <c r="W68" t="s">
        <v>754</v>
      </c>
    </row>
    <row r="69" spans="1:23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8657</v>
      </c>
      <c r="H69" t="s">
        <v>44</v>
      </c>
      <c r="I69">
        <v>1000008657</v>
      </c>
      <c r="J69">
        <v>29464071</v>
      </c>
      <c r="K69" s="38">
        <v>44777.824178240742</v>
      </c>
      <c r="L69" t="s">
        <v>752</v>
      </c>
      <c r="M69" t="s">
        <v>88</v>
      </c>
      <c r="N69">
        <v>99.5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1076</v>
      </c>
      <c r="T69">
        <v>6</v>
      </c>
      <c r="U69" t="s">
        <v>89</v>
      </c>
      <c r="W69" t="s">
        <v>754</v>
      </c>
    </row>
    <row r="70" spans="1:23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8657</v>
      </c>
      <c r="H70" t="s">
        <v>44</v>
      </c>
      <c r="I70">
        <v>1000008657</v>
      </c>
      <c r="J70">
        <v>29464194</v>
      </c>
      <c r="K70" s="38">
        <v>44777.825995370367</v>
      </c>
      <c r="L70" t="s">
        <v>752</v>
      </c>
      <c r="M70" t="s">
        <v>88</v>
      </c>
      <c r="N70">
        <v>198.5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1078</v>
      </c>
      <c r="T70">
        <v>6</v>
      </c>
      <c r="U70" t="s">
        <v>89</v>
      </c>
      <c r="W70" t="s">
        <v>754</v>
      </c>
    </row>
    <row r="71" spans="1:23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29426878</v>
      </c>
      <c r="K71" s="38">
        <v>44774.358611111114</v>
      </c>
      <c r="L71" t="s">
        <v>753</v>
      </c>
      <c r="M71" t="s">
        <v>88</v>
      </c>
      <c r="N71">
        <v>113.5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1549</v>
      </c>
      <c r="T71">
        <v>6</v>
      </c>
      <c r="U71" t="s">
        <v>89</v>
      </c>
      <c r="W71" t="s">
        <v>754</v>
      </c>
    </row>
    <row r="72" spans="1:23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29426925</v>
      </c>
      <c r="K72" s="38">
        <v>44774.365856481483</v>
      </c>
      <c r="L72" t="s">
        <v>752</v>
      </c>
      <c r="M72" t="s">
        <v>88</v>
      </c>
      <c r="N72">
        <v>57.5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1551</v>
      </c>
      <c r="T72">
        <v>6</v>
      </c>
      <c r="U72" t="s">
        <v>89</v>
      </c>
      <c r="W72" t="s">
        <v>754</v>
      </c>
    </row>
    <row r="73" spans="1:23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29428674</v>
      </c>
      <c r="K73" s="38">
        <v>44774.487916666665</v>
      </c>
      <c r="L73" t="s">
        <v>752</v>
      </c>
      <c r="M73" t="s">
        <v>88</v>
      </c>
      <c r="N73">
        <v>70.5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1553</v>
      </c>
      <c r="T73">
        <v>6</v>
      </c>
      <c r="U73" t="s">
        <v>89</v>
      </c>
      <c r="W73" t="s">
        <v>754</v>
      </c>
    </row>
    <row r="74" spans="1:23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29431125</v>
      </c>
      <c r="K74" s="38">
        <v>44774.674120370371</v>
      </c>
      <c r="L74" t="s">
        <v>752</v>
      </c>
      <c r="M74" t="s">
        <v>88</v>
      </c>
      <c r="N74">
        <v>109.5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663</v>
      </c>
      <c r="T74">
        <v>6</v>
      </c>
      <c r="U74" t="s">
        <v>89</v>
      </c>
      <c r="W74" t="s">
        <v>754</v>
      </c>
    </row>
    <row r="75" spans="1:23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29434744</v>
      </c>
      <c r="K75" s="38">
        <v>44775.427164351851</v>
      </c>
      <c r="L75" t="s">
        <v>752</v>
      </c>
      <c r="M75" t="s">
        <v>88</v>
      </c>
      <c r="N75">
        <v>105.5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768</v>
      </c>
      <c r="T75">
        <v>6</v>
      </c>
      <c r="U75" t="s">
        <v>89</v>
      </c>
      <c r="W75" t="s">
        <v>754</v>
      </c>
    </row>
    <row r="76" spans="1:23" outlineLevel="2" x14ac:dyDescent="0.25">
      <c r="A76" t="s">
        <v>82</v>
      </c>
      <c r="B76" t="s">
        <v>83</v>
      </c>
      <c r="C76">
        <v>30</v>
      </c>
      <c r="D76" t="s">
        <v>84</v>
      </c>
      <c r="E76">
        <v>184</v>
      </c>
      <c r="F76" t="s">
        <v>85</v>
      </c>
      <c r="G76">
        <v>8658</v>
      </c>
      <c r="H76" t="s">
        <v>33</v>
      </c>
      <c r="I76">
        <v>1000008658</v>
      </c>
      <c r="J76">
        <v>29438762</v>
      </c>
      <c r="K76" s="38">
        <v>44775.745925925927</v>
      </c>
      <c r="L76" t="s">
        <v>752</v>
      </c>
      <c r="M76" t="s">
        <v>88</v>
      </c>
      <c r="N76">
        <v>190.5</v>
      </c>
      <c r="O76">
        <v>14.22</v>
      </c>
      <c r="P76">
        <v>2.2799999999999998</v>
      </c>
      <c r="Q76">
        <v>4.2561999999999998</v>
      </c>
      <c r="R76">
        <v>0.68100000000000005</v>
      </c>
      <c r="S76" t="s">
        <v>770</v>
      </c>
      <c r="T76">
        <v>6</v>
      </c>
      <c r="U76" t="s">
        <v>89</v>
      </c>
      <c r="W76" t="s">
        <v>754</v>
      </c>
    </row>
    <row r="77" spans="1:23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8658</v>
      </c>
      <c r="H77" t="s">
        <v>33</v>
      </c>
      <c r="I77">
        <v>1000008658</v>
      </c>
      <c r="J77">
        <v>29438788</v>
      </c>
      <c r="K77" s="38">
        <v>44775.74732638889</v>
      </c>
      <c r="L77" t="s">
        <v>752</v>
      </c>
      <c r="M77" t="s">
        <v>88</v>
      </c>
      <c r="N77">
        <v>142.5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371</v>
      </c>
      <c r="T77">
        <v>6</v>
      </c>
      <c r="U77" t="s">
        <v>89</v>
      </c>
      <c r="W77" t="s">
        <v>754</v>
      </c>
    </row>
    <row r="78" spans="1:23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8658</v>
      </c>
      <c r="H78" t="s">
        <v>33</v>
      </c>
      <c r="I78">
        <v>1000008658</v>
      </c>
      <c r="J78">
        <v>29441835</v>
      </c>
      <c r="K78" s="38">
        <v>44776.419861111113</v>
      </c>
      <c r="L78" t="s">
        <v>752</v>
      </c>
      <c r="M78" t="s">
        <v>88</v>
      </c>
      <c r="N78">
        <v>44.5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1371</v>
      </c>
      <c r="T78">
        <v>6</v>
      </c>
      <c r="U78" t="s">
        <v>89</v>
      </c>
      <c r="W78" t="s">
        <v>754</v>
      </c>
    </row>
    <row r="79" spans="1:23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8658</v>
      </c>
      <c r="H79" t="s">
        <v>33</v>
      </c>
      <c r="I79">
        <v>1000008658</v>
      </c>
      <c r="J79">
        <v>29448311</v>
      </c>
      <c r="K79" s="38">
        <v>44776.828634259262</v>
      </c>
      <c r="L79" t="s">
        <v>752</v>
      </c>
      <c r="M79" t="s">
        <v>88</v>
      </c>
      <c r="N79">
        <v>181.5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1373</v>
      </c>
      <c r="T79">
        <v>6</v>
      </c>
      <c r="U79" t="s">
        <v>89</v>
      </c>
      <c r="W79" t="s">
        <v>754</v>
      </c>
    </row>
    <row r="80" spans="1:23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8658</v>
      </c>
      <c r="H80" t="s">
        <v>33</v>
      </c>
      <c r="I80">
        <v>1000008658</v>
      </c>
      <c r="J80">
        <v>29449614</v>
      </c>
      <c r="K80" s="38">
        <v>44776.91302083333</v>
      </c>
      <c r="L80" t="s">
        <v>752</v>
      </c>
      <c r="M80" t="s">
        <v>88</v>
      </c>
      <c r="N80">
        <v>161.5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1375</v>
      </c>
      <c r="T80">
        <v>6</v>
      </c>
      <c r="U80" t="s">
        <v>89</v>
      </c>
      <c r="W80" t="s">
        <v>754</v>
      </c>
    </row>
    <row r="81" spans="1:23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8658</v>
      </c>
      <c r="H81" t="s">
        <v>33</v>
      </c>
      <c r="I81">
        <v>1000008658</v>
      </c>
      <c r="J81">
        <v>29449885</v>
      </c>
      <c r="K81" s="38">
        <v>44777.323055555556</v>
      </c>
      <c r="L81" t="s">
        <v>752</v>
      </c>
      <c r="M81" t="s">
        <v>88</v>
      </c>
      <c r="N81">
        <v>156.5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664</v>
      </c>
      <c r="T81">
        <v>6</v>
      </c>
      <c r="U81" t="s">
        <v>89</v>
      </c>
      <c r="W81" t="s">
        <v>754</v>
      </c>
    </row>
    <row r="82" spans="1:23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8658</v>
      </c>
      <c r="H82" t="s">
        <v>33</v>
      </c>
      <c r="I82">
        <v>1000008658</v>
      </c>
      <c r="J82">
        <v>29450614</v>
      </c>
      <c r="K82" s="38">
        <v>44777.389085648145</v>
      </c>
      <c r="L82" t="s">
        <v>752</v>
      </c>
      <c r="M82" t="s">
        <v>88</v>
      </c>
      <c r="N82">
        <v>190.5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1081</v>
      </c>
      <c r="T82">
        <v>6</v>
      </c>
      <c r="U82" t="s">
        <v>89</v>
      </c>
      <c r="W82" t="s">
        <v>754</v>
      </c>
    </row>
    <row r="83" spans="1:23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8658</v>
      </c>
      <c r="H83" t="s">
        <v>33</v>
      </c>
      <c r="I83">
        <v>1000008658</v>
      </c>
      <c r="J83">
        <v>29450639</v>
      </c>
      <c r="K83" s="38">
        <v>44777.390717592592</v>
      </c>
      <c r="L83" t="s">
        <v>752</v>
      </c>
      <c r="M83" t="s">
        <v>88</v>
      </c>
      <c r="N83">
        <v>94.5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1083</v>
      </c>
      <c r="T83">
        <v>6</v>
      </c>
      <c r="U83" t="s">
        <v>89</v>
      </c>
      <c r="W83" t="s">
        <v>754</v>
      </c>
    </row>
    <row r="84" spans="1:23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8658</v>
      </c>
      <c r="H84" t="s">
        <v>33</v>
      </c>
      <c r="I84">
        <v>1000008658</v>
      </c>
      <c r="J84">
        <v>29450669</v>
      </c>
      <c r="K84" s="38">
        <v>44777.392210648148</v>
      </c>
      <c r="L84" t="s">
        <v>752</v>
      </c>
      <c r="M84" t="s">
        <v>88</v>
      </c>
      <c r="N84">
        <v>104.5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1085</v>
      </c>
      <c r="T84">
        <v>6</v>
      </c>
      <c r="U84" t="s">
        <v>89</v>
      </c>
      <c r="W84" t="s">
        <v>754</v>
      </c>
    </row>
    <row r="85" spans="1:23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8658</v>
      </c>
      <c r="H85" t="s">
        <v>33</v>
      </c>
      <c r="I85">
        <v>1000008658</v>
      </c>
      <c r="J85">
        <v>29453426</v>
      </c>
      <c r="K85" s="38">
        <v>44777.499675925923</v>
      </c>
      <c r="L85" t="s">
        <v>752</v>
      </c>
      <c r="M85" t="s">
        <v>88</v>
      </c>
      <c r="N85">
        <v>89.5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1087</v>
      </c>
      <c r="T85">
        <v>6</v>
      </c>
      <c r="U85" t="s">
        <v>89</v>
      </c>
      <c r="W85" t="s">
        <v>754</v>
      </c>
    </row>
    <row r="86" spans="1:23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8658</v>
      </c>
      <c r="H86" t="s">
        <v>33</v>
      </c>
      <c r="I86">
        <v>1000008658</v>
      </c>
      <c r="J86">
        <v>29453499</v>
      </c>
      <c r="K86" s="38">
        <v>44777.502650462964</v>
      </c>
      <c r="L86" t="s">
        <v>752</v>
      </c>
      <c r="M86" t="s">
        <v>88</v>
      </c>
      <c r="N86">
        <v>178.5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1089</v>
      </c>
      <c r="T86">
        <v>6</v>
      </c>
      <c r="U86" t="s">
        <v>89</v>
      </c>
      <c r="W86" t="s">
        <v>754</v>
      </c>
    </row>
    <row r="87" spans="1:23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8658</v>
      </c>
      <c r="H87" t="s">
        <v>33</v>
      </c>
      <c r="I87">
        <v>1000008658</v>
      </c>
      <c r="J87">
        <v>29459222</v>
      </c>
      <c r="K87" s="38">
        <v>44777.721620370372</v>
      </c>
      <c r="L87" t="s">
        <v>752</v>
      </c>
      <c r="M87" t="s">
        <v>88</v>
      </c>
      <c r="N87">
        <v>83.5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1091</v>
      </c>
      <c r="T87">
        <v>6</v>
      </c>
      <c r="U87" t="s">
        <v>89</v>
      </c>
      <c r="W87" t="s">
        <v>754</v>
      </c>
    </row>
    <row r="88" spans="1:23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8658</v>
      </c>
      <c r="H88" t="s">
        <v>33</v>
      </c>
      <c r="I88">
        <v>1000008658</v>
      </c>
      <c r="J88">
        <v>29459265</v>
      </c>
      <c r="K88" s="38">
        <v>44777.722870370373</v>
      </c>
      <c r="L88" t="s">
        <v>752</v>
      </c>
      <c r="M88" t="s">
        <v>88</v>
      </c>
      <c r="N88">
        <v>166.5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1093</v>
      </c>
      <c r="T88">
        <v>6</v>
      </c>
      <c r="U88" t="s">
        <v>89</v>
      </c>
      <c r="W88" t="s">
        <v>754</v>
      </c>
    </row>
    <row r="89" spans="1:23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8658</v>
      </c>
      <c r="H89" t="s">
        <v>33</v>
      </c>
      <c r="I89">
        <v>1000008658</v>
      </c>
      <c r="J89">
        <v>29459335</v>
      </c>
      <c r="K89" s="38">
        <v>44777.725034722222</v>
      </c>
      <c r="L89" t="s">
        <v>752</v>
      </c>
      <c r="M89" t="s">
        <v>88</v>
      </c>
      <c r="N89">
        <v>130.5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1095</v>
      </c>
      <c r="T89">
        <v>6</v>
      </c>
      <c r="U89" t="s">
        <v>89</v>
      </c>
      <c r="W89" t="s">
        <v>754</v>
      </c>
    </row>
    <row r="90" spans="1:23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8658</v>
      </c>
      <c r="H90" t="s">
        <v>33</v>
      </c>
      <c r="I90">
        <v>1000008658</v>
      </c>
      <c r="J90">
        <v>29459944</v>
      </c>
      <c r="K90" s="38">
        <v>44777.742893518516</v>
      </c>
      <c r="L90" t="s">
        <v>752</v>
      </c>
      <c r="M90" t="s">
        <v>88</v>
      </c>
      <c r="N90">
        <v>82.5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1097</v>
      </c>
      <c r="T90">
        <v>6</v>
      </c>
      <c r="U90" t="s">
        <v>89</v>
      </c>
      <c r="W90" t="s">
        <v>754</v>
      </c>
    </row>
    <row r="91" spans="1:23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8658</v>
      </c>
      <c r="H91" t="s">
        <v>33</v>
      </c>
      <c r="I91">
        <v>1000008658</v>
      </c>
      <c r="J91">
        <v>29465468</v>
      </c>
      <c r="K91" s="38">
        <v>44777.846747685187</v>
      </c>
      <c r="L91" t="s">
        <v>752</v>
      </c>
      <c r="M91" t="s">
        <v>88</v>
      </c>
      <c r="N91">
        <v>132.5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1099</v>
      </c>
      <c r="T91">
        <v>6</v>
      </c>
      <c r="U91" t="s">
        <v>89</v>
      </c>
      <c r="W91" t="s">
        <v>754</v>
      </c>
    </row>
    <row r="92" spans="1:23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8658</v>
      </c>
      <c r="H92" t="s">
        <v>33</v>
      </c>
      <c r="I92">
        <v>1000008658</v>
      </c>
      <c r="J92">
        <v>29466571</v>
      </c>
      <c r="K92" s="38">
        <v>44777.865601851852</v>
      </c>
      <c r="L92" t="s">
        <v>752</v>
      </c>
      <c r="M92" t="s">
        <v>88</v>
      </c>
      <c r="N92">
        <v>175.5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1101</v>
      </c>
      <c r="T92">
        <v>6</v>
      </c>
      <c r="U92" t="s">
        <v>89</v>
      </c>
      <c r="W92" t="s">
        <v>754</v>
      </c>
    </row>
    <row r="93" spans="1:23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29427858</v>
      </c>
      <c r="K93" s="38">
        <v>44774.439351851855</v>
      </c>
      <c r="L93" t="s">
        <v>752</v>
      </c>
      <c r="M93" t="s">
        <v>88</v>
      </c>
      <c r="N93">
        <v>106.5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1556</v>
      </c>
      <c r="T93">
        <v>6</v>
      </c>
      <c r="U93" t="s">
        <v>89</v>
      </c>
      <c r="W93" t="s">
        <v>754</v>
      </c>
    </row>
    <row r="94" spans="1:23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29427884</v>
      </c>
      <c r="K94" s="38">
        <v>44774.440798611111</v>
      </c>
      <c r="L94" t="s">
        <v>752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1558</v>
      </c>
      <c r="T94">
        <v>6</v>
      </c>
      <c r="U94" t="s">
        <v>89</v>
      </c>
      <c r="W94" t="s">
        <v>754</v>
      </c>
    </row>
    <row r="95" spans="1:23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29433734</v>
      </c>
      <c r="K95" s="40">
        <v>44774.901504629626</v>
      </c>
      <c r="L95" s="7" t="s">
        <v>752</v>
      </c>
      <c r="M95" s="7" t="s">
        <v>88</v>
      </c>
      <c r="N95" s="7">
        <v>206.5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1560</v>
      </c>
      <c r="T95" s="7">
        <v>6</v>
      </c>
      <c r="U95" s="7" t="s">
        <v>89</v>
      </c>
      <c r="V95" s="7"/>
      <c r="W95" t="s">
        <v>754</v>
      </c>
    </row>
    <row r="96" spans="1:23" outlineLevel="2" x14ac:dyDescent="0.25">
      <c r="A96" t="s">
        <v>82</v>
      </c>
      <c r="B96" t="s">
        <v>83</v>
      </c>
      <c r="C96">
        <v>30</v>
      </c>
      <c r="D96" t="s">
        <v>84</v>
      </c>
      <c r="E96">
        <v>184</v>
      </c>
      <c r="F96" t="s">
        <v>85</v>
      </c>
      <c r="G96">
        <v>8659</v>
      </c>
      <c r="H96" t="s">
        <v>32</v>
      </c>
      <c r="I96">
        <v>1000008659</v>
      </c>
      <c r="J96">
        <v>29437386</v>
      </c>
      <c r="K96" s="38">
        <v>44775.617534722223</v>
      </c>
      <c r="L96" t="s">
        <v>752</v>
      </c>
      <c r="M96" t="s">
        <v>88</v>
      </c>
      <c r="N96">
        <v>156.5</v>
      </c>
      <c r="O96">
        <v>14.22</v>
      </c>
      <c r="P96">
        <v>2.2799999999999998</v>
      </c>
      <c r="Q96">
        <v>4.2561999999999998</v>
      </c>
      <c r="R96">
        <v>0.68100000000000005</v>
      </c>
      <c r="S96" t="s">
        <v>374</v>
      </c>
      <c r="T96">
        <v>6</v>
      </c>
      <c r="U96" t="s">
        <v>89</v>
      </c>
      <c r="W96" t="s">
        <v>754</v>
      </c>
    </row>
    <row r="97" spans="1:23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8659</v>
      </c>
      <c r="H97" t="s">
        <v>32</v>
      </c>
      <c r="I97">
        <v>1000008659</v>
      </c>
      <c r="J97">
        <v>29439589</v>
      </c>
      <c r="K97" s="38">
        <v>44775.804178240738</v>
      </c>
      <c r="L97" t="s">
        <v>752</v>
      </c>
      <c r="M97" t="s">
        <v>88</v>
      </c>
      <c r="N97">
        <v>139.5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774</v>
      </c>
      <c r="T97">
        <v>6</v>
      </c>
      <c r="U97" t="s">
        <v>89</v>
      </c>
      <c r="W97" t="s">
        <v>754</v>
      </c>
    </row>
    <row r="98" spans="1:23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8659</v>
      </c>
      <c r="H98" t="s">
        <v>32</v>
      </c>
      <c r="I98">
        <v>1000008659</v>
      </c>
      <c r="J98">
        <v>29440689</v>
      </c>
      <c r="K98" s="38">
        <v>44775.891516203701</v>
      </c>
      <c r="L98" t="s">
        <v>752</v>
      </c>
      <c r="M98" t="s">
        <v>88</v>
      </c>
      <c r="N98">
        <v>152.5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776</v>
      </c>
      <c r="T98">
        <v>6</v>
      </c>
      <c r="U98" t="s">
        <v>89</v>
      </c>
      <c r="W98" t="s">
        <v>754</v>
      </c>
    </row>
    <row r="99" spans="1:23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8659</v>
      </c>
      <c r="H99" t="s">
        <v>32</v>
      </c>
      <c r="I99">
        <v>1000008659</v>
      </c>
      <c r="J99">
        <v>29440702</v>
      </c>
      <c r="K99" s="38">
        <v>44775.892812500002</v>
      </c>
      <c r="L99" t="s">
        <v>752</v>
      </c>
      <c r="M99" t="s">
        <v>88</v>
      </c>
      <c r="N99">
        <v>77.5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778</v>
      </c>
      <c r="T99">
        <v>6</v>
      </c>
      <c r="U99" t="s">
        <v>89</v>
      </c>
      <c r="W99" t="s">
        <v>754</v>
      </c>
    </row>
    <row r="100" spans="1:23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8659</v>
      </c>
      <c r="H100" t="s">
        <v>32</v>
      </c>
      <c r="I100">
        <v>1000008659</v>
      </c>
      <c r="J100">
        <v>29440721</v>
      </c>
      <c r="K100" s="38">
        <v>44775.894571759258</v>
      </c>
      <c r="L100" t="s">
        <v>752</v>
      </c>
      <c r="M100" t="s">
        <v>88</v>
      </c>
      <c r="N100">
        <v>86.5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780</v>
      </c>
      <c r="T100">
        <v>6</v>
      </c>
      <c r="U100" t="s">
        <v>89</v>
      </c>
      <c r="W100" t="s">
        <v>754</v>
      </c>
    </row>
    <row r="101" spans="1:23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8659</v>
      </c>
      <c r="H101" t="s">
        <v>32</v>
      </c>
      <c r="I101">
        <v>1000008659</v>
      </c>
      <c r="J101">
        <v>29441157</v>
      </c>
      <c r="K101" s="38">
        <v>44776.354270833333</v>
      </c>
      <c r="L101" t="s">
        <v>752</v>
      </c>
      <c r="M101" t="s">
        <v>88</v>
      </c>
      <c r="N101">
        <v>211.5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668</v>
      </c>
      <c r="T101">
        <v>6</v>
      </c>
      <c r="U101" t="s">
        <v>89</v>
      </c>
      <c r="W101" t="s">
        <v>754</v>
      </c>
    </row>
    <row r="102" spans="1:23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8659</v>
      </c>
      <c r="H102" t="s">
        <v>32</v>
      </c>
      <c r="I102">
        <v>1000008659</v>
      </c>
      <c r="J102">
        <v>29444462</v>
      </c>
      <c r="K102" s="38">
        <v>44776.582326388889</v>
      </c>
      <c r="L102" t="s">
        <v>752</v>
      </c>
      <c r="M102" t="s">
        <v>88</v>
      </c>
      <c r="N102">
        <v>166.5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1378</v>
      </c>
      <c r="T102">
        <v>6</v>
      </c>
      <c r="U102" t="s">
        <v>89</v>
      </c>
      <c r="W102" t="s">
        <v>754</v>
      </c>
    </row>
    <row r="103" spans="1:23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8659</v>
      </c>
      <c r="H103" t="s">
        <v>32</v>
      </c>
      <c r="I103">
        <v>1000008659</v>
      </c>
      <c r="J103">
        <v>29444712</v>
      </c>
      <c r="K103" s="38">
        <v>44776.602824074071</v>
      </c>
      <c r="L103" t="s">
        <v>752</v>
      </c>
      <c r="M103" t="s">
        <v>88</v>
      </c>
      <c r="N103">
        <v>166.5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1380</v>
      </c>
      <c r="T103">
        <v>6</v>
      </c>
      <c r="U103" t="s">
        <v>89</v>
      </c>
      <c r="W103" t="s">
        <v>754</v>
      </c>
    </row>
    <row r="104" spans="1:23" outlineLevel="2" x14ac:dyDescent="0.25">
      <c r="A104" s="13" t="s">
        <v>82</v>
      </c>
      <c r="B104" s="13" t="s">
        <v>83</v>
      </c>
      <c r="C104" s="13">
        <v>30</v>
      </c>
      <c r="D104" s="13" t="s">
        <v>84</v>
      </c>
      <c r="E104" s="13">
        <v>184</v>
      </c>
      <c r="F104" s="13" t="s">
        <v>85</v>
      </c>
      <c r="G104" s="13">
        <v>8659</v>
      </c>
      <c r="H104" s="13" t="s">
        <v>32</v>
      </c>
      <c r="I104" s="13">
        <v>1000008659</v>
      </c>
      <c r="J104" s="13">
        <v>29446044</v>
      </c>
      <c r="K104" s="41">
        <v>44776.709016203706</v>
      </c>
      <c r="L104" s="13" t="s">
        <v>752</v>
      </c>
      <c r="M104" s="13" t="s">
        <v>88</v>
      </c>
      <c r="N104" s="13">
        <v>44.5</v>
      </c>
      <c r="O104" s="13">
        <v>14.22</v>
      </c>
      <c r="P104" s="13">
        <v>2.2799999999999998</v>
      </c>
      <c r="Q104" s="13">
        <v>4.2561999999999998</v>
      </c>
      <c r="R104" s="13">
        <v>0.68100000000000005</v>
      </c>
      <c r="S104" s="13" t="s">
        <v>1382</v>
      </c>
      <c r="T104" s="13">
        <v>6</v>
      </c>
      <c r="U104" s="13" t="s">
        <v>89</v>
      </c>
      <c r="V104" s="13"/>
      <c r="W104" t="s">
        <v>754</v>
      </c>
    </row>
    <row r="105" spans="1:23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8659</v>
      </c>
      <c r="H105" t="s">
        <v>32</v>
      </c>
      <c r="I105">
        <v>1000008659</v>
      </c>
      <c r="J105">
        <v>29449818</v>
      </c>
      <c r="K105" s="38">
        <v>44777.302743055552</v>
      </c>
      <c r="L105" t="s">
        <v>752</v>
      </c>
      <c r="M105" t="s">
        <v>88</v>
      </c>
      <c r="N105">
        <v>131.5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1103</v>
      </c>
      <c r="T105">
        <v>6</v>
      </c>
      <c r="U105" t="s">
        <v>89</v>
      </c>
      <c r="W105" t="s">
        <v>754</v>
      </c>
    </row>
    <row r="106" spans="1:23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8659</v>
      </c>
      <c r="H106" t="s">
        <v>32</v>
      </c>
      <c r="I106">
        <v>1000008659</v>
      </c>
      <c r="J106">
        <v>29450130</v>
      </c>
      <c r="K106" s="38">
        <v>44777.355752314812</v>
      </c>
      <c r="L106" t="s">
        <v>752</v>
      </c>
      <c r="M106" t="s">
        <v>88</v>
      </c>
      <c r="N106">
        <v>420.5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1105</v>
      </c>
      <c r="T106">
        <v>6</v>
      </c>
      <c r="U106" t="s">
        <v>89</v>
      </c>
      <c r="W106" t="s">
        <v>754</v>
      </c>
    </row>
    <row r="107" spans="1:23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8659</v>
      </c>
      <c r="H107" t="s">
        <v>32</v>
      </c>
      <c r="I107">
        <v>1000008659</v>
      </c>
      <c r="J107">
        <v>29450515</v>
      </c>
      <c r="K107" s="38">
        <v>44777.383043981485</v>
      </c>
      <c r="L107" t="s">
        <v>752</v>
      </c>
      <c r="M107" t="s">
        <v>88</v>
      </c>
      <c r="N107">
        <v>148.5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1107</v>
      </c>
      <c r="T107">
        <v>6</v>
      </c>
      <c r="U107" t="s">
        <v>89</v>
      </c>
      <c r="W107" t="s">
        <v>754</v>
      </c>
    </row>
    <row r="108" spans="1:23" outlineLevel="2" x14ac:dyDescent="0.25">
      <c r="A108" s="8" t="s">
        <v>82</v>
      </c>
      <c r="B108" s="8" t="s">
        <v>83</v>
      </c>
      <c r="C108" s="8">
        <v>30</v>
      </c>
      <c r="D108" s="8" t="s">
        <v>84</v>
      </c>
      <c r="E108" s="8">
        <v>184</v>
      </c>
      <c r="F108" s="8" t="s">
        <v>85</v>
      </c>
      <c r="G108" s="8">
        <v>8659</v>
      </c>
      <c r="H108" s="8" t="s">
        <v>32</v>
      </c>
      <c r="I108" s="8">
        <v>1000008659</v>
      </c>
      <c r="J108" s="8">
        <v>29458106</v>
      </c>
      <c r="K108" s="39">
        <v>44777.683865740742</v>
      </c>
      <c r="L108" s="8" t="s">
        <v>752</v>
      </c>
      <c r="M108" s="8" t="s">
        <v>88</v>
      </c>
      <c r="N108" s="8">
        <v>637.5</v>
      </c>
      <c r="O108" s="8">
        <v>14.22</v>
      </c>
      <c r="P108" s="8">
        <v>2.2799999999999998</v>
      </c>
      <c r="Q108" s="8">
        <v>4.2561999999999998</v>
      </c>
      <c r="R108" s="8">
        <v>0.68100000000000005</v>
      </c>
      <c r="S108" s="8" t="s">
        <v>666</v>
      </c>
      <c r="T108" s="8">
        <v>6</v>
      </c>
      <c r="U108" s="8" t="s">
        <v>89</v>
      </c>
      <c r="V108" s="8"/>
      <c r="W108" t="s">
        <v>754</v>
      </c>
    </row>
    <row r="109" spans="1:23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8659</v>
      </c>
      <c r="H109" t="s">
        <v>32</v>
      </c>
      <c r="I109">
        <v>1000008659</v>
      </c>
      <c r="J109">
        <v>29458134</v>
      </c>
      <c r="K109" s="38">
        <v>44777.685115740744</v>
      </c>
      <c r="L109" t="s">
        <v>752</v>
      </c>
      <c r="M109" t="s">
        <v>88</v>
      </c>
      <c r="N109">
        <v>404.5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665</v>
      </c>
      <c r="T109">
        <v>6</v>
      </c>
      <c r="U109" t="s">
        <v>89</v>
      </c>
      <c r="W109" t="s">
        <v>754</v>
      </c>
    </row>
    <row r="110" spans="1:23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8659</v>
      </c>
      <c r="H110" t="s">
        <v>32</v>
      </c>
      <c r="I110">
        <v>1000008659</v>
      </c>
      <c r="J110">
        <v>29459294</v>
      </c>
      <c r="K110" s="38">
        <v>44777.72384259259</v>
      </c>
      <c r="L110" t="s">
        <v>753</v>
      </c>
      <c r="M110" t="s">
        <v>88</v>
      </c>
      <c r="N110">
        <v>187.5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1110</v>
      </c>
      <c r="T110">
        <v>6</v>
      </c>
      <c r="U110" t="s">
        <v>89</v>
      </c>
      <c r="W110" t="s">
        <v>754</v>
      </c>
    </row>
    <row r="111" spans="1:23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8659</v>
      </c>
      <c r="H111" t="s">
        <v>32</v>
      </c>
      <c r="I111">
        <v>1000008659</v>
      </c>
      <c r="J111">
        <v>29461249</v>
      </c>
      <c r="K111" s="38">
        <v>44777.774201388886</v>
      </c>
      <c r="L111" t="s">
        <v>752</v>
      </c>
      <c r="M111" t="s">
        <v>88</v>
      </c>
      <c r="N111">
        <v>110.5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1112</v>
      </c>
      <c r="T111">
        <v>6</v>
      </c>
      <c r="U111" t="s">
        <v>89</v>
      </c>
      <c r="W111" t="s">
        <v>754</v>
      </c>
    </row>
    <row r="112" spans="1:23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8659</v>
      </c>
      <c r="H112" t="s">
        <v>32</v>
      </c>
      <c r="I112">
        <v>1000008659</v>
      </c>
      <c r="J112">
        <v>29461362</v>
      </c>
      <c r="K112" s="38">
        <v>44777.776585648149</v>
      </c>
      <c r="L112" t="s">
        <v>752</v>
      </c>
      <c r="M112" t="s">
        <v>88</v>
      </c>
      <c r="N112">
        <v>121.5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1114</v>
      </c>
      <c r="T112">
        <v>6</v>
      </c>
      <c r="U112" t="s">
        <v>89</v>
      </c>
      <c r="W112" t="s">
        <v>754</v>
      </c>
    </row>
    <row r="113" spans="1:23" outlineLevel="2" x14ac:dyDescent="0.25">
      <c r="A113" s="8" t="s">
        <v>82</v>
      </c>
      <c r="B113" s="8" t="s">
        <v>83</v>
      </c>
      <c r="C113" s="8">
        <v>30</v>
      </c>
      <c r="D113" s="8" t="s">
        <v>84</v>
      </c>
      <c r="E113" s="8">
        <v>184</v>
      </c>
      <c r="F113" s="8" t="s">
        <v>85</v>
      </c>
      <c r="G113" s="8">
        <v>8659</v>
      </c>
      <c r="H113" s="8" t="s">
        <v>32</v>
      </c>
      <c r="I113" s="8">
        <v>1000008659</v>
      </c>
      <c r="J113" s="8">
        <v>29461910</v>
      </c>
      <c r="K113" s="39">
        <v>44777.787303240744</v>
      </c>
      <c r="L113" s="8" t="s">
        <v>752</v>
      </c>
      <c r="M113" s="8" t="s">
        <v>88</v>
      </c>
      <c r="N113" s="8">
        <v>85.5</v>
      </c>
      <c r="O113" s="8">
        <v>14.22</v>
      </c>
      <c r="P113" s="8">
        <v>2.2799999999999998</v>
      </c>
      <c r="Q113" s="8">
        <v>4.2561999999999998</v>
      </c>
      <c r="R113" s="8">
        <v>0.68100000000000005</v>
      </c>
      <c r="S113" s="8" t="s">
        <v>1261</v>
      </c>
      <c r="T113" s="8">
        <v>6</v>
      </c>
      <c r="U113" s="8" t="s">
        <v>89</v>
      </c>
      <c r="V113" s="8"/>
      <c r="W113" t="s">
        <v>754</v>
      </c>
    </row>
    <row r="114" spans="1:23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8659</v>
      </c>
      <c r="H114" t="s">
        <v>32</v>
      </c>
      <c r="I114">
        <v>1000008659</v>
      </c>
      <c r="J114">
        <v>29462013</v>
      </c>
      <c r="K114" s="38">
        <v>44777.789120370369</v>
      </c>
      <c r="L114" t="s">
        <v>752</v>
      </c>
      <c r="M114" t="s">
        <v>88</v>
      </c>
      <c r="N114">
        <v>102.5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1116</v>
      </c>
      <c r="T114">
        <v>6</v>
      </c>
      <c r="U114" t="s">
        <v>89</v>
      </c>
      <c r="W114" t="s">
        <v>754</v>
      </c>
    </row>
    <row r="115" spans="1:23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8659</v>
      </c>
      <c r="H115" t="s">
        <v>32</v>
      </c>
      <c r="I115">
        <v>1000008659</v>
      </c>
      <c r="J115">
        <v>29462125</v>
      </c>
      <c r="K115" s="38">
        <v>44777.791064814817</v>
      </c>
      <c r="L115" t="s">
        <v>752</v>
      </c>
      <c r="M115" t="s">
        <v>88</v>
      </c>
      <c r="N115">
        <v>127.5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1118</v>
      </c>
      <c r="T115">
        <v>6</v>
      </c>
      <c r="U115" t="s">
        <v>89</v>
      </c>
      <c r="W115" t="s">
        <v>754</v>
      </c>
    </row>
    <row r="116" spans="1:23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8659</v>
      </c>
      <c r="H116" t="s">
        <v>32</v>
      </c>
      <c r="I116">
        <v>1000008659</v>
      </c>
      <c r="J116">
        <v>29467459</v>
      </c>
      <c r="K116" s="38">
        <v>44777.8827662037</v>
      </c>
      <c r="L116" t="s">
        <v>752</v>
      </c>
      <c r="M116" t="s">
        <v>88</v>
      </c>
      <c r="N116">
        <v>166.5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1120</v>
      </c>
      <c r="T116">
        <v>6</v>
      </c>
      <c r="U116" t="s">
        <v>89</v>
      </c>
      <c r="W116" t="s">
        <v>754</v>
      </c>
    </row>
    <row r="117" spans="1:23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8659</v>
      </c>
      <c r="H117" t="s">
        <v>32</v>
      </c>
      <c r="I117">
        <v>1000008659</v>
      </c>
      <c r="J117">
        <v>29467900</v>
      </c>
      <c r="K117" s="38">
        <v>44777.892754629633</v>
      </c>
      <c r="L117" t="s">
        <v>752</v>
      </c>
      <c r="M117" t="s">
        <v>88</v>
      </c>
      <c r="N117">
        <v>408.5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1122</v>
      </c>
      <c r="T117">
        <v>6</v>
      </c>
      <c r="U117" t="s">
        <v>89</v>
      </c>
      <c r="W117" t="s">
        <v>754</v>
      </c>
    </row>
    <row r="118" spans="1:23" outlineLevel="2" x14ac:dyDescent="0.25">
      <c r="A118" s="7" t="s">
        <v>82</v>
      </c>
      <c r="B118" s="7" t="s">
        <v>83</v>
      </c>
      <c r="C118" s="7">
        <v>30</v>
      </c>
      <c r="D118" s="7" t="s">
        <v>84</v>
      </c>
      <c r="E118" s="7">
        <v>184</v>
      </c>
      <c r="F118" s="7" t="s">
        <v>85</v>
      </c>
      <c r="G118" s="7">
        <v>8659</v>
      </c>
      <c r="H118" s="7" t="s">
        <v>32</v>
      </c>
      <c r="I118" s="7">
        <v>1000008659</v>
      </c>
      <c r="J118" s="7">
        <v>29468377</v>
      </c>
      <c r="K118" s="40">
        <v>44777.904594907406</v>
      </c>
      <c r="L118" s="7" t="s">
        <v>752</v>
      </c>
      <c r="M118" s="7" t="s">
        <v>88</v>
      </c>
      <c r="N118" s="7">
        <v>88.5</v>
      </c>
      <c r="O118" s="7">
        <v>14.22</v>
      </c>
      <c r="P118" s="7">
        <v>2.2799999999999998</v>
      </c>
      <c r="Q118" s="7">
        <v>4.2561999999999998</v>
      </c>
      <c r="R118" s="7">
        <v>0.68100000000000005</v>
      </c>
      <c r="S118" s="7" t="s">
        <v>1124</v>
      </c>
      <c r="T118" s="7">
        <v>6</v>
      </c>
      <c r="U118" s="7" t="s">
        <v>89</v>
      </c>
      <c r="V118" s="7"/>
      <c r="W118" t="s">
        <v>754</v>
      </c>
    </row>
    <row r="119" spans="1:23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8659</v>
      </c>
      <c r="H119" t="s">
        <v>32</v>
      </c>
      <c r="I119">
        <v>1000008659</v>
      </c>
      <c r="J119">
        <v>29468428</v>
      </c>
      <c r="K119" s="38">
        <v>44777.905995370369</v>
      </c>
      <c r="L119" t="s">
        <v>752</v>
      </c>
      <c r="M119" t="s">
        <v>88</v>
      </c>
      <c r="N119">
        <v>355.5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1126</v>
      </c>
      <c r="T119">
        <v>6</v>
      </c>
      <c r="U119" t="s">
        <v>89</v>
      </c>
      <c r="W119" t="s">
        <v>754</v>
      </c>
    </row>
    <row r="120" spans="1:23" outlineLevel="2" x14ac:dyDescent="0.25">
      <c r="A120" t="s">
        <v>82</v>
      </c>
      <c r="B120" t="s">
        <v>83</v>
      </c>
      <c r="C120">
        <v>30</v>
      </c>
      <c r="D120" t="s">
        <v>84</v>
      </c>
      <c r="E120">
        <v>184</v>
      </c>
      <c r="F120" t="s">
        <v>85</v>
      </c>
      <c r="G120">
        <v>8659</v>
      </c>
      <c r="H120" t="s">
        <v>32</v>
      </c>
      <c r="I120">
        <v>1000008659</v>
      </c>
      <c r="J120">
        <v>29468563</v>
      </c>
      <c r="K120" s="38">
        <v>44777.910104166665</v>
      </c>
      <c r="L120" t="s">
        <v>752</v>
      </c>
      <c r="M120" t="s">
        <v>88</v>
      </c>
      <c r="N120">
        <v>184.5</v>
      </c>
      <c r="O120">
        <v>14.22</v>
      </c>
      <c r="P120">
        <v>2.2799999999999998</v>
      </c>
      <c r="Q120">
        <v>4.2561999999999998</v>
      </c>
      <c r="R120">
        <v>0.68100000000000005</v>
      </c>
      <c r="S120" t="s">
        <v>1128</v>
      </c>
      <c r="T120">
        <v>6</v>
      </c>
      <c r="U120" t="s">
        <v>89</v>
      </c>
      <c r="W120" t="s">
        <v>754</v>
      </c>
    </row>
    <row r="121" spans="1:23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8659</v>
      </c>
      <c r="H121" t="s">
        <v>32</v>
      </c>
      <c r="I121">
        <v>1000008659</v>
      </c>
      <c r="J121">
        <v>29468835</v>
      </c>
      <c r="K121" s="38">
        <v>44777.921469907407</v>
      </c>
      <c r="L121" t="s">
        <v>752</v>
      </c>
      <c r="M121" t="s">
        <v>88</v>
      </c>
      <c r="N121">
        <v>186.5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1130</v>
      </c>
      <c r="T121">
        <v>6</v>
      </c>
      <c r="U121" t="s">
        <v>89</v>
      </c>
      <c r="W121" t="s">
        <v>754</v>
      </c>
    </row>
    <row r="122" spans="1:23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8659</v>
      </c>
      <c r="H122" t="s">
        <v>32</v>
      </c>
      <c r="I122">
        <v>1000008659</v>
      </c>
      <c r="J122">
        <v>29469356</v>
      </c>
      <c r="K122" s="38">
        <v>44777.95453703704</v>
      </c>
      <c r="L122" t="s">
        <v>752</v>
      </c>
      <c r="M122" t="s">
        <v>88</v>
      </c>
      <c r="N122">
        <v>714.5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1132</v>
      </c>
      <c r="T122">
        <v>6</v>
      </c>
      <c r="U122" t="s">
        <v>89</v>
      </c>
      <c r="W122" t="s">
        <v>754</v>
      </c>
    </row>
    <row r="123" spans="1:23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8660</v>
      </c>
      <c r="H123" t="s">
        <v>35</v>
      </c>
      <c r="I123">
        <v>1000008660</v>
      </c>
      <c r="J123">
        <v>29426656</v>
      </c>
      <c r="K123" s="38">
        <v>44774.038506944446</v>
      </c>
      <c r="L123" t="s">
        <v>752</v>
      </c>
      <c r="M123" t="s">
        <v>88</v>
      </c>
      <c r="N123">
        <v>71.5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520</v>
      </c>
      <c r="T123">
        <v>6</v>
      </c>
      <c r="U123" t="s">
        <v>89</v>
      </c>
      <c r="W123" t="s">
        <v>754</v>
      </c>
    </row>
    <row r="124" spans="1:23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8660</v>
      </c>
      <c r="H124" t="s">
        <v>35</v>
      </c>
      <c r="I124">
        <v>1000008660</v>
      </c>
      <c r="J124">
        <v>29428574</v>
      </c>
      <c r="K124" s="38">
        <v>44774.482187499998</v>
      </c>
      <c r="L124" t="s">
        <v>753</v>
      </c>
      <c r="M124" t="s">
        <v>88</v>
      </c>
      <c r="N124">
        <v>50.5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1563</v>
      </c>
      <c r="T124">
        <v>6</v>
      </c>
      <c r="U124" t="s">
        <v>89</v>
      </c>
      <c r="W124" t="s">
        <v>754</v>
      </c>
    </row>
    <row r="125" spans="1:23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8660</v>
      </c>
      <c r="H125" t="s">
        <v>35</v>
      </c>
      <c r="I125">
        <v>1000008660</v>
      </c>
      <c r="J125">
        <v>29429775</v>
      </c>
      <c r="K125" s="38">
        <v>44774.555810185186</v>
      </c>
      <c r="L125" t="s">
        <v>752</v>
      </c>
      <c r="M125" t="s">
        <v>88</v>
      </c>
      <c r="N125">
        <v>69.5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1565</v>
      </c>
      <c r="T125">
        <v>6</v>
      </c>
      <c r="U125" t="s">
        <v>89</v>
      </c>
      <c r="W125" t="s">
        <v>754</v>
      </c>
    </row>
    <row r="126" spans="1:23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8660</v>
      </c>
      <c r="H126" t="s">
        <v>35</v>
      </c>
      <c r="I126">
        <v>1000008660</v>
      </c>
      <c r="J126">
        <v>29435189</v>
      </c>
      <c r="K126" s="38">
        <v>44775.456006944441</v>
      </c>
      <c r="L126" t="s">
        <v>753</v>
      </c>
      <c r="M126" t="s">
        <v>88</v>
      </c>
      <c r="N126">
        <v>124.5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594</v>
      </c>
      <c r="T126">
        <v>6</v>
      </c>
      <c r="U126" t="s">
        <v>89</v>
      </c>
      <c r="W126" t="s">
        <v>754</v>
      </c>
    </row>
    <row r="127" spans="1:23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8660</v>
      </c>
      <c r="H127" t="s">
        <v>35</v>
      </c>
      <c r="I127">
        <v>1000008660</v>
      </c>
      <c r="J127">
        <v>29437594</v>
      </c>
      <c r="K127" s="38">
        <v>44775.638321759259</v>
      </c>
      <c r="L127" t="s">
        <v>752</v>
      </c>
      <c r="M127" t="s">
        <v>88</v>
      </c>
      <c r="N127">
        <v>155.5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397</v>
      </c>
      <c r="T127">
        <v>6</v>
      </c>
      <c r="U127" t="s">
        <v>89</v>
      </c>
      <c r="W127" t="s">
        <v>754</v>
      </c>
    </row>
    <row r="128" spans="1:23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8660</v>
      </c>
      <c r="H128" t="s">
        <v>35</v>
      </c>
      <c r="I128">
        <v>1000008660</v>
      </c>
      <c r="J128">
        <v>29446314</v>
      </c>
      <c r="K128" s="38">
        <v>44776.725555555553</v>
      </c>
      <c r="L128" t="s">
        <v>752</v>
      </c>
      <c r="M128" t="s">
        <v>88</v>
      </c>
      <c r="N128">
        <v>96.5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1384</v>
      </c>
      <c r="T128">
        <v>6</v>
      </c>
      <c r="U128" t="s">
        <v>89</v>
      </c>
      <c r="W128" t="s">
        <v>754</v>
      </c>
    </row>
    <row r="129" spans="1:23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8660</v>
      </c>
      <c r="H129" t="s">
        <v>35</v>
      </c>
      <c r="I129">
        <v>1000008660</v>
      </c>
      <c r="J129">
        <v>29461717</v>
      </c>
      <c r="K129" s="38">
        <v>44777.783483796295</v>
      </c>
      <c r="L129" t="s">
        <v>752</v>
      </c>
      <c r="M129" t="s">
        <v>88</v>
      </c>
      <c r="N129">
        <v>100.5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1134</v>
      </c>
      <c r="T129">
        <v>6</v>
      </c>
      <c r="U129" t="s">
        <v>89</v>
      </c>
      <c r="W129" t="s">
        <v>754</v>
      </c>
    </row>
    <row r="130" spans="1:23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8660</v>
      </c>
      <c r="H130" t="s">
        <v>35</v>
      </c>
      <c r="I130">
        <v>1000008660</v>
      </c>
      <c r="J130">
        <v>29467607</v>
      </c>
      <c r="K130" s="38">
        <v>44777.886030092595</v>
      </c>
      <c r="L130" t="s">
        <v>752</v>
      </c>
      <c r="M130" t="s">
        <v>88</v>
      </c>
      <c r="N130">
        <v>45.5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1136</v>
      </c>
      <c r="T130">
        <v>6</v>
      </c>
      <c r="U130" t="s">
        <v>89</v>
      </c>
      <c r="W130" t="s">
        <v>754</v>
      </c>
    </row>
    <row r="131" spans="1:23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8660</v>
      </c>
      <c r="H131" t="s">
        <v>35</v>
      </c>
      <c r="I131">
        <v>1000008660</v>
      </c>
      <c r="J131">
        <v>29469402</v>
      </c>
      <c r="K131" s="38">
        <v>44777.961469907408</v>
      </c>
      <c r="L131" t="s">
        <v>752</v>
      </c>
      <c r="M131" t="s">
        <v>88</v>
      </c>
      <c r="N131">
        <v>140.5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1138</v>
      </c>
      <c r="T131">
        <v>6</v>
      </c>
      <c r="U131" t="s">
        <v>89</v>
      </c>
      <c r="W131" t="s">
        <v>754</v>
      </c>
    </row>
    <row r="132" spans="1:23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8661</v>
      </c>
      <c r="H132" t="s">
        <v>39</v>
      </c>
      <c r="I132">
        <v>1000008661</v>
      </c>
      <c r="J132">
        <v>29427031</v>
      </c>
      <c r="K132" s="38">
        <v>44774.379351851851</v>
      </c>
      <c r="L132" t="s">
        <v>752</v>
      </c>
      <c r="M132" t="s">
        <v>88</v>
      </c>
      <c r="N132">
        <v>58.5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1567</v>
      </c>
      <c r="T132">
        <v>6</v>
      </c>
      <c r="U132" t="s">
        <v>89</v>
      </c>
      <c r="W132" t="s">
        <v>754</v>
      </c>
    </row>
    <row r="133" spans="1:23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8661</v>
      </c>
      <c r="H133" t="s">
        <v>39</v>
      </c>
      <c r="I133">
        <v>1000008661</v>
      </c>
      <c r="J133">
        <v>29432466</v>
      </c>
      <c r="K133" s="38">
        <v>44774.79105324074</v>
      </c>
      <c r="L133" t="s">
        <v>752</v>
      </c>
      <c r="M133" t="s">
        <v>88</v>
      </c>
      <c r="N133">
        <v>108.5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413</v>
      </c>
      <c r="T133">
        <v>6</v>
      </c>
      <c r="U133" t="s">
        <v>89</v>
      </c>
      <c r="W133" t="s">
        <v>754</v>
      </c>
    </row>
    <row r="134" spans="1:23" outlineLevel="2" x14ac:dyDescent="0.25">
      <c r="A134" t="s">
        <v>82</v>
      </c>
      <c r="B134" t="s">
        <v>83</v>
      </c>
      <c r="C134">
        <v>30</v>
      </c>
      <c r="D134" t="s">
        <v>84</v>
      </c>
      <c r="E134">
        <v>184</v>
      </c>
      <c r="F134" t="s">
        <v>85</v>
      </c>
      <c r="G134">
        <v>8661</v>
      </c>
      <c r="H134" t="s">
        <v>39</v>
      </c>
      <c r="I134">
        <v>1000008661</v>
      </c>
      <c r="J134">
        <v>29437656</v>
      </c>
      <c r="K134" s="38">
        <v>44775.643182870372</v>
      </c>
      <c r="L134" t="s">
        <v>752</v>
      </c>
      <c r="M134" t="s">
        <v>88</v>
      </c>
      <c r="N134">
        <v>47.5</v>
      </c>
      <c r="O134">
        <v>14.22</v>
      </c>
      <c r="P134">
        <v>2.2799999999999998</v>
      </c>
      <c r="Q134">
        <v>4.2561999999999998</v>
      </c>
      <c r="R134">
        <v>0.68100000000000005</v>
      </c>
      <c r="S134" t="s">
        <v>784</v>
      </c>
      <c r="T134">
        <v>6</v>
      </c>
      <c r="U134" t="s">
        <v>89</v>
      </c>
      <c r="W134" t="s">
        <v>754</v>
      </c>
    </row>
    <row r="135" spans="1:23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8661</v>
      </c>
      <c r="H135" t="s">
        <v>39</v>
      </c>
      <c r="I135">
        <v>1000008661</v>
      </c>
      <c r="J135">
        <v>29444051</v>
      </c>
      <c r="K135" s="38">
        <v>44776.555520833332</v>
      </c>
      <c r="L135" t="s">
        <v>753</v>
      </c>
      <c r="M135" t="s">
        <v>88</v>
      </c>
      <c r="N135">
        <v>44.5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1386</v>
      </c>
      <c r="T135">
        <v>6</v>
      </c>
      <c r="U135" t="s">
        <v>89</v>
      </c>
      <c r="W135" t="s">
        <v>754</v>
      </c>
    </row>
    <row r="136" spans="1:23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8661</v>
      </c>
      <c r="H136" t="s">
        <v>39</v>
      </c>
      <c r="I136">
        <v>1000008661</v>
      </c>
      <c r="J136">
        <v>29449522</v>
      </c>
      <c r="K136" s="38">
        <v>44776.899814814817</v>
      </c>
      <c r="L136" t="s">
        <v>752</v>
      </c>
      <c r="M136" t="s">
        <v>88</v>
      </c>
      <c r="N136">
        <v>355.5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670</v>
      </c>
      <c r="T136">
        <v>6</v>
      </c>
      <c r="U136" t="s">
        <v>89</v>
      </c>
      <c r="W136" t="s">
        <v>754</v>
      </c>
    </row>
    <row r="137" spans="1:23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8661</v>
      </c>
      <c r="H137" t="s">
        <v>39</v>
      </c>
      <c r="I137">
        <v>1000008661</v>
      </c>
      <c r="J137">
        <v>29451913</v>
      </c>
      <c r="K137" s="38">
        <v>44777.443645833337</v>
      </c>
      <c r="L137" t="s">
        <v>752</v>
      </c>
      <c r="M137" t="s">
        <v>88</v>
      </c>
      <c r="N137">
        <v>694.5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1140</v>
      </c>
      <c r="T137">
        <v>6</v>
      </c>
      <c r="U137" t="s">
        <v>89</v>
      </c>
      <c r="W137" t="s">
        <v>754</v>
      </c>
    </row>
    <row r="138" spans="1:23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8661</v>
      </c>
      <c r="H138" t="s">
        <v>39</v>
      </c>
      <c r="I138">
        <v>1000008661</v>
      </c>
      <c r="J138">
        <v>29454593</v>
      </c>
      <c r="K138" s="38">
        <v>44777.542962962965</v>
      </c>
      <c r="L138" t="s">
        <v>752</v>
      </c>
      <c r="M138" t="s">
        <v>88</v>
      </c>
      <c r="N138">
        <v>198.5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1142</v>
      </c>
      <c r="T138">
        <v>6</v>
      </c>
      <c r="U138" t="s">
        <v>89</v>
      </c>
      <c r="W138" t="s">
        <v>754</v>
      </c>
    </row>
    <row r="139" spans="1:23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8661</v>
      </c>
      <c r="H139" t="s">
        <v>39</v>
      </c>
      <c r="I139">
        <v>1000008661</v>
      </c>
      <c r="J139">
        <v>29457250</v>
      </c>
      <c r="K139" s="38">
        <v>44777.6483912037</v>
      </c>
      <c r="L139" t="s">
        <v>752</v>
      </c>
      <c r="M139" t="s">
        <v>88</v>
      </c>
      <c r="N139">
        <v>87.5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1144</v>
      </c>
      <c r="T139">
        <v>6</v>
      </c>
      <c r="U139" t="s">
        <v>89</v>
      </c>
      <c r="W139" t="s">
        <v>754</v>
      </c>
    </row>
    <row r="140" spans="1:23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8661</v>
      </c>
      <c r="H140" t="s">
        <v>39</v>
      </c>
      <c r="I140">
        <v>1000008661</v>
      </c>
      <c r="J140">
        <v>29464491</v>
      </c>
      <c r="K140" s="38">
        <v>44777.830729166664</v>
      </c>
      <c r="L140" t="s">
        <v>752</v>
      </c>
      <c r="M140" t="s">
        <v>88</v>
      </c>
      <c r="N140">
        <v>132.5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1146</v>
      </c>
      <c r="T140">
        <v>6</v>
      </c>
      <c r="U140" t="s">
        <v>89</v>
      </c>
      <c r="W140" t="s">
        <v>754</v>
      </c>
    </row>
    <row r="141" spans="1:23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8661</v>
      </c>
      <c r="H141" t="s">
        <v>39</v>
      </c>
      <c r="I141">
        <v>1000008661</v>
      </c>
      <c r="J141">
        <v>29464771</v>
      </c>
      <c r="K141" s="38">
        <v>44777.83525462963</v>
      </c>
      <c r="L141" t="s">
        <v>752</v>
      </c>
      <c r="M141" t="s">
        <v>88</v>
      </c>
      <c r="N141">
        <v>93.5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1148</v>
      </c>
      <c r="T141">
        <v>6</v>
      </c>
      <c r="U141" t="s">
        <v>89</v>
      </c>
      <c r="W141" t="s">
        <v>754</v>
      </c>
    </row>
    <row r="142" spans="1:23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8661</v>
      </c>
      <c r="H142" t="s">
        <v>39</v>
      </c>
      <c r="I142">
        <v>1000008661</v>
      </c>
      <c r="J142">
        <v>29469313</v>
      </c>
      <c r="K142" s="38">
        <v>44777.949699074074</v>
      </c>
      <c r="L142" t="s">
        <v>752</v>
      </c>
      <c r="M142" t="s">
        <v>88</v>
      </c>
      <c r="N142">
        <v>132.5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1150</v>
      </c>
      <c r="T142">
        <v>6</v>
      </c>
      <c r="U142" t="s">
        <v>89</v>
      </c>
      <c r="W142" t="s">
        <v>754</v>
      </c>
    </row>
    <row r="143" spans="1:23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29428774</v>
      </c>
      <c r="K143" s="38">
        <v>44774.494328703702</v>
      </c>
      <c r="L143" t="s">
        <v>752</v>
      </c>
      <c r="M143" t="s">
        <v>88</v>
      </c>
      <c r="N143">
        <v>79.5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1570</v>
      </c>
      <c r="T143">
        <v>6</v>
      </c>
      <c r="U143" t="s">
        <v>89</v>
      </c>
      <c r="W143" t="s">
        <v>754</v>
      </c>
    </row>
    <row r="144" spans="1:23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29430203</v>
      </c>
      <c r="K144" s="38">
        <v>44774.588321759256</v>
      </c>
      <c r="L144" t="s">
        <v>752</v>
      </c>
      <c r="M144" t="s">
        <v>88</v>
      </c>
      <c r="N144">
        <v>44.5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1572</v>
      </c>
      <c r="T144">
        <v>6</v>
      </c>
      <c r="U144" t="s">
        <v>89</v>
      </c>
      <c r="W144" t="s">
        <v>754</v>
      </c>
    </row>
    <row r="145" spans="1:23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29435473</v>
      </c>
      <c r="K145" s="38">
        <v>44775.475474537037</v>
      </c>
      <c r="L145" t="s">
        <v>752</v>
      </c>
      <c r="M145" t="s">
        <v>88</v>
      </c>
      <c r="N145">
        <v>95.5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786</v>
      </c>
      <c r="T145">
        <v>6</v>
      </c>
      <c r="U145" t="s">
        <v>89</v>
      </c>
      <c r="W145" t="s">
        <v>754</v>
      </c>
    </row>
    <row r="146" spans="1:23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29438887</v>
      </c>
      <c r="K146" s="38">
        <v>44775.756539351853</v>
      </c>
      <c r="L146" t="s">
        <v>752</v>
      </c>
      <c r="M146" t="s">
        <v>88</v>
      </c>
      <c r="N146">
        <v>79.5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432</v>
      </c>
      <c r="T146">
        <v>6</v>
      </c>
      <c r="U146" t="s">
        <v>89</v>
      </c>
      <c r="W146" t="s">
        <v>754</v>
      </c>
    </row>
    <row r="147" spans="1:23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29439650</v>
      </c>
      <c r="K147" s="38">
        <v>44775.808969907404</v>
      </c>
      <c r="L147" t="s">
        <v>752</v>
      </c>
      <c r="M147" t="s">
        <v>88</v>
      </c>
      <c r="N147">
        <v>339.5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789</v>
      </c>
      <c r="T147">
        <v>6</v>
      </c>
      <c r="U147" t="s">
        <v>89</v>
      </c>
      <c r="W147" t="s">
        <v>754</v>
      </c>
    </row>
    <row r="148" spans="1:23" outlineLevel="2" x14ac:dyDescent="0.25">
      <c r="A148" t="s">
        <v>82</v>
      </c>
      <c r="B148" t="s">
        <v>83</v>
      </c>
      <c r="C148">
        <v>30</v>
      </c>
      <c r="D148" t="s">
        <v>84</v>
      </c>
      <c r="E148">
        <v>184</v>
      </c>
      <c r="F148" t="s">
        <v>85</v>
      </c>
      <c r="G148">
        <v>8662</v>
      </c>
      <c r="H148" t="s">
        <v>36</v>
      </c>
      <c r="I148">
        <v>1000008662</v>
      </c>
      <c r="J148">
        <v>29441311</v>
      </c>
      <c r="K148" s="38">
        <v>44776.375115740739</v>
      </c>
      <c r="L148" t="s">
        <v>752</v>
      </c>
      <c r="M148" t="s">
        <v>88</v>
      </c>
      <c r="N148">
        <v>509.5</v>
      </c>
      <c r="O148">
        <v>14.22</v>
      </c>
      <c r="P148">
        <v>2.2799999999999998</v>
      </c>
      <c r="Q148">
        <v>4.2561999999999998</v>
      </c>
      <c r="R148">
        <v>0.68100000000000005</v>
      </c>
      <c r="S148" t="s">
        <v>1389</v>
      </c>
      <c r="T148">
        <v>6</v>
      </c>
      <c r="U148" t="s">
        <v>89</v>
      </c>
      <c r="W148" t="s">
        <v>754</v>
      </c>
    </row>
    <row r="149" spans="1:23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29442148</v>
      </c>
      <c r="K149" s="38">
        <v>44776.440682870372</v>
      </c>
      <c r="L149" t="s">
        <v>753</v>
      </c>
      <c r="M149" t="s">
        <v>88</v>
      </c>
      <c r="N149">
        <v>62.5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1391</v>
      </c>
      <c r="T149">
        <v>6</v>
      </c>
      <c r="U149" t="s">
        <v>89</v>
      </c>
      <c r="W149" t="s">
        <v>754</v>
      </c>
    </row>
    <row r="150" spans="1:23" outlineLevel="2" x14ac:dyDescent="0.25">
      <c r="A150" t="s">
        <v>82</v>
      </c>
      <c r="B150" t="s">
        <v>83</v>
      </c>
      <c r="C150">
        <v>30</v>
      </c>
      <c r="D150" t="s">
        <v>84</v>
      </c>
      <c r="E150">
        <v>184</v>
      </c>
      <c r="F150" t="s">
        <v>85</v>
      </c>
      <c r="G150">
        <v>8662</v>
      </c>
      <c r="H150" t="s">
        <v>36</v>
      </c>
      <c r="I150">
        <v>1000008662</v>
      </c>
      <c r="J150">
        <v>29443145</v>
      </c>
      <c r="K150" s="38">
        <v>44776.498032407406</v>
      </c>
      <c r="L150" t="s">
        <v>752</v>
      </c>
      <c r="M150" t="s">
        <v>88</v>
      </c>
      <c r="N150">
        <v>339.5</v>
      </c>
      <c r="O150">
        <v>14.22</v>
      </c>
      <c r="P150">
        <v>2.2799999999999998</v>
      </c>
      <c r="Q150">
        <v>4.2561999999999998</v>
      </c>
      <c r="R150">
        <v>0.68100000000000005</v>
      </c>
      <c r="S150" t="s">
        <v>1393</v>
      </c>
      <c r="T150">
        <v>6</v>
      </c>
      <c r="U150" t="s">
        <v>89</v>
      </c>
      <c r="W150" t="s">
        <v>754</v>
      </c>
    </row>
    <row r="151" spans="1:23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8662</v>
      </c>
      <c r="H151" t="s">
        <v>36</v>
      </c>
      <c r="I151">
        <v>1000008662</v>
      </c>
      <c r="J151">
        <v>29444580</v>
      </c>
      <c r="K151" s="38">
        <v>44776.591423611113</v>
      </c>
      <c r="L151" t="s">
        <v>753</v>
      </c>
      <c r="M151" t="s">
        <v>88</v>
      </c>
      <c r="N151">
        <v>169.5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1395</v>
      </c>
      <c r="T151">
        <v>6</v>
      </c>
      <c r="U151" t="s">
        <v>89</v>
      </c>
      <c r="W151" t="s">
        <v>754</v>
      </c>
    </row>
    <row r="152" spans="1:23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8662</v>
      </c>
      <c r="H152" t="s">
        <v>36</v>
      </c>
      <c r="I152">
        <v>1000008662</v>
      </c>
      <c r="J152">
        <v>29445055</v>
      </c>
      <c r="K152" s="38">
        <v>44776.632071759261</v>
      </c>
      <c r="L152" t="s">
        <v>752</v>
      </c>
      <c r="M152" t="s">
        <v>88</v>
      </c>
      <c r="N152">
        <v>149.5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1397</v>
      </c>
      <c r="T152">
        <v>6</v>
      </c>
      <c r="U152" t="s">
        <v>89</v>
      </c>
      <c r="W152" t="s">
        <v>754</v>
      </c>
    </row>
    <row r="153" spans="1:23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8662</v>
      </c>
      <c r="H153" t="s">
        <v>36</v>
      </c>
      <c r="I153">
        <v>1000008662</v>
      </c>
      <c r="J153">
        <v>29451704</v>
      </c>
      <c r="K153" s="38">
        <v>44777.435624999998</v>
      </c>
      <c r="L153" t="s">
        <v>752</v>
      </c>
      <c r="M153" t="s">
        <v>88</v>
      </c>
      <c r="N153">
        <v>107.5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1152</v>
      </c>
      <c r="T153">
        <v>6</v>
      </c>
      <c r="U153" t="s">
        <v>89</v>
      </c>
      <c r="W153" t="s">
        <v>754</v>
      </c>
    </row>
    <row r="154" spans="1:23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8662</v>
      </c>
      <c r="H154" t="s">
        <v>36</v>
      </c>
      <c r="I154">
        <v>1000008662</v>
      </c>
      <c r="J154">
        <v>29452305</v>
      </c>
      <c r="K154" s="38">
        <v>44777.458981481483</v>
      </c>
      <c r="L154" t="s">
        <v>752</v>
      </c>
      <c r="M154" t="s">
        <v>88</v>
      </c>
      <c r="N154">
        <v>400.5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1154</v>
      </c>
      <c r="T154">
        <v>6</v>
      </c>
      <c r="U154" t="s">
        <v>89</v>
      </c>
      <c r="W154" t="s">
        <v>754</v>
      </c>
    </row>
    <row r="155" spans="1:23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8662</v>
      </c>
      <c r="H155" t="s">
        <v>36</v>
      </c>
      <c r="I155">
        <v>1000008662</v>
      </c>
      <c r="J155">
        <v>29452681</v>
      </c>
      <c r="K155" s="38">
        <v>44777.472557870373</v>
      </c>
      <c r="L155" t="s">
        <v>753</v>
      </c>
      <c r="M155" t="s">
        <v>88</v>
      </c>
      <c r="N155">
        <v>247.5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1156</v>
      </c>
      <c r="T155">
        <v>6</v>
      </c>
      <c r="U155" t="s">
        <v>89</v>
      </c>
      <c r="W155" t="s">
        <v>754</v>
      </c>
    </row>
    <row r="156" spans="1:23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8662</v>
      </c>
      <c r="H156" t="s">
        <v>36</v>
      </c>
      <c r="I156">
        <v>1000008662</v>
      </c>
      <c r="J156">
        <v>29454660</v>
      </c>
      <c r="K156" s="38">
        <v>44777.546342592592</v>
      </c>
      <c r="L156" t="s">
        <v>752</v>
      </c>
      <c r="M156" t="s">
        <v>88</v>
      </c>
      <c r="N156">
        <v>134.5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1158</v>
      </c>
      <c r="T156">
        <v>6</v>
      </c>
      <c r="U156" t="s">
        <v>89</v>
      </c>
      <c r="W156" t="s">
        <v>754</v>
      </c>
    </row>
    <row r="157" spans="1:23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8662</v>
      </c>
      <c r="H157" t="s">
        <v>36</v>
      </c>
      <c r="I157">
        <v>1000008662</v>
      </c>
      <c r="J157">
        <v>29457717</v>
      </c>
      <c r="K157" s="38">
        <v>44777.668449074074</v>
      </c>
      <c r="L157" t="s">
        <v>753</v>
      </c>
      <c r="M157" t="s">
        <v>88</v>
      </c>
      <c r="N157">
        <v>317.5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1160</v>
      </c>
      <c r="T157">
        <v>6</v>
      </c>
      <c r="U157" t="s">
        <v>89</v>
      </c>
      <c r="W157" t="s">
        <v>754</v>
      </c>
    </row>
    <row r="158" spans="1:23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8662</v>
      </c>
      <c r="H158" t="s">
        <v>36</v>
      </c>
      <c r="I158">
        <v>1000008662</v>
      </c>
      <c r="J158">
        <v>29459636</v>
      </c>
      <c r="K158" s="38">
        <v>44777.734039351853</v>
      </c>
      <c r="L158" t="s">
        <v>752</v>
      </c>
      <c r="M158" t="s">
        <v>88</v>
      </c>
      <c r="N158">
        <v>174.5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1162</v>
      </c>
      <c r="T158">
        <v>6</v>
      </c>
      <c r="U158" t="s">
        <v>89</v>
      </c>
      <c r="W158" t="s">
        <v>754</v>
      </c>
    </row>
    <row r="159" spans="1:23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8662</v>
      </c>
      <c r="H159" t="s">
        <v>36</v>
      </c>
      <c r="I159">
        <v>1000008662</v>
      </c>
      <c r="J159">
        <v>29459991</v>
      </c>
      <c r="K159" s="38">
        <v>44777.744074074071</v>
      </c>
      <c r="L159" t="s">
        <v>752</v>
      </c>
      <c r="M159" t="s">
        <v>88</v>
      </c>
      <c r="N159">
        <v>457.5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1164</v>
      </c>
      <c r="T159">
        <v>6</v>
      </c>
      <c r="U159" t="s">
        <v>89</v>
      </c>
      <c r="W159" t="s">
        <v>754</v>
      </c>
    </row>
    <row r="160" spans="1:23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8662</v>
      </c>
      <c r="H160" t="s">
        <v>36</v>
      </c>
      <c r="I160">
        <v>1000008662</v>
      </c>
      <c r="J160">
        <v>29460101</v>
      </c>
      <c r="K160" s="38">
        <v>44777.746793981481</v>
      </c>
      <c r="L160" t="s">
        <v>752</v>
      </c>
      <c r="M160" t="s">
        <v>88</v>
      </c>
      <c r="N160">
        <v>227.5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1166</v>
      </c>
      <c r="T160">
        <v>6</v>
      </c>
      <c r="U160" t="s">
        <v>89</v>
      </c>
      <c r="W160" t="s">
        <v>754</v>
      </c>
    </row>
    <row r="161" spans="1:23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8662</v>
      </c>
      <c r="H161" t="s">
        <v>36</v>
      </c>
      <c r="I161">
        <v>1000008662</v>
      </c>
      <c r="J161">
        <v>29460203</v>
      </c>
      <c r="K161" s="38">
        <v>44777.749467592592</v>
      </c>
      <c r="L161" t="s">
        <v>752</v>
      </c>
      <c r="M161" t="s">
        <v>88</v>
      </c>
      <c r="N161">
        <v>420.5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1168</v>
      </c>
      <c r="T161">
        <v>6</v>
      </c>
      <c r="U161" t="s">
        <v>89</v>
      </c>
      <c r="W161" t="s">
        <v>754</v>
      </c>
    </row>
    <row r="162" spans="1:23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8662</v>
      </c>
      <c r="H162" t="s">
        <v>36</v>
      </c>
      <c r="I162">
        <v>1000008662</v>
      </c>
      <c r="J162">
        <v>29460703</v>
      </c>
      <c r="K162" s="38">
        <v>44777.761967592596</v>
      </c>
      <c r="L162" t="s">
        <v>752</v>
      </c>
      <c r="M162" t="s">
        <v>88</v>
      </c>
      <c r="N162">
        <v>63.5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1170</v>
      </c>
      <c r="T162">
        <v>6</v>
      </c>
      <c r="U162" t="s">
        <v>89</v>
      </c>
      <c r="W162" t="s">
        <v>754</v>
      </c>
    </row>
    <row r="163" spans="1:23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8662</v>
      </c>
      <c r="H163" t="s">
        <v>36</v>
      </c>
      <c r="I163">
        <v>1000008662</v>
      </c>
      <c r="J163">
        <v>29464463</v>
      </c>
      <c r="K163" s="38">
        <v>44777.830231481479</v>
      </c>
      <c r="L163" t="s">
        <v>752</v>
      </c>
      <c r="M163" t="s">
        <v>88</v>
      </c>
      <c r="N163">
        <v>96.5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1172</v>
      </c>
      <c r="T163">
        <v>6</v>
      </c>
      <c r="U163" t="s">
        <v>89</v>
      </c>
      <c r="W163" t="s">
        <v>754</v>
      </c>
    </row>
    <row r="164" spans="1:23" outlineLevel="2" x14ac:dyDescent="0.25">
      <c r="A164" t="s">
        <v>82</v>
      </c>
      <c r="B164" t="s">
        <v>83</v>
      </c>
      <c r="C164">
        <v>30</v>
      </c>
      <c r="D164" t="s">
        <v>84</v>
      </c>
      <c r="E164">
        <v>184</v>
      </c>
      <c r="F164" t="s">
        <v>85</v>
      </c>
      <c r="G164">
        <v>8662</v>
      </c>
      <c r="H164" t="s">
        <v>36</v>
      </c>
      <c r="I164">
        <v>1000008662</v>
      </c>
      <c r="J164">
        <v>29465868</v>
      </c>
      <c r="K164" s="38">
        <v>44777.853402777779</v>
      </c>
      <c r="L164" t="s">
        <v>752</v>
      </c>
      <c r="M164" t="s">
        <v>88</v>
      </c>
      <c r="N164">
        <v>383.5</v>
      </c>
      <c r="O164">
        <v>14.22</v>
      </c>
      <c r="P164">
        <v>2.2799999999999998</v>
      </c>
      <c r="Q164">
        <v>4.2561999999999998</v>
      </c>
      <c r="R164">
        <v>0.68100000000000005</v>
      </c>
      <c r="S164" t="s">
        <v>1174</v>
      </c>
      <c r="T164">
        <v>6</v>
      </c>
      <c r="U164" t="s">
        <v>89</v>
      </c>
      <c r="W164" t="s">
        <v>754</v>
      </c>
    </row>
    <row r="165" spans="1:23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8662</v>
      </c>
      <c r="H165" t="s">
        <v>36</v>
      </c>
      <c r="I165">
        <v>1000008662</v>
      </c>
      <c r="J165">
        <v>29466927</v>
      </c>
      <c r="K165" s="38">
        <v>44777.871840277781</v>
      </c>
      <c r="L165" t="s">
        <v>752</v>
      </c>
      <c r="M165" t="s">
        <v>88</v>
      </c>
      <c r="N165">
        <v>65.5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1176</v>
      </c>
      <c r="T165">
        <v>6</v>
      </c>
      <c r="U165" t="s">
        <v>89</v>
      </c>
      <c r="W165" t="s">
        <v>754</v>
      </c>
    </row>
    <row r="166" spans="1:23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8662</v>
      </c>
      <c r="H166" t="s">
        <v>36</v>
      </c>
      <c r="I166">
        <v>1000008662</v>
      </c>
      <c r="J166">
        <v>29467104</v>
      </c>
      <c r="K166" s="38">
        <v>44777.874872685185</v>
      </c>
      <c r="L166" t="s">
        <v>752</v>
      </c>
      <c r="M166" t="s">
        <v>88</v>
      </c>
      <c r="N166">
        <v>84.5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1178</v>
      </c>
      <c r="T166">
        <v>6</v>
      </c>
      <c r="U166" t="s">
        <v>89</v>
      </c>
      <c r="W166" t="s">
        <v>754</v>
      </c>
    </row>
    <row r="167" spans="1:23" outlineLevel="2" x14ac:dyDescent="0.25">
      <c r="A167" t="s">
        <v>82</v>
      </c>
      <c r="B167" t="s">
        <v>83</v>
      </c>
      <c r="C167">
        <v>30</v>
      </c>
      <c r="D167" t="s">
        <v>84</v>
      </c>
      <c r="E167">
        <v>184</v>
      </c>
      <c r="F167" t="s">
        <v>85</v>
      </c>
      <c r="G167">
        <v>8662</v>
      </c>
      <c r="H167" t="s">
        <v>36</v>
      </c>
      <c r="I167">
        <v>1000008662</v>
      </c>
      <c r="J167">
        <v>29468045</v>
      </c>
      <c r="K167" s="38">
        <v>44777.89638888889</v>
      </c>
      <c r="L167" t="s">
        <v>752</v>
      </c>
      <c r="M167" t="s">
        <v>88</v>
      </c>
      <c r="N167">
        <v>239.5</v>
      </c>
      <c r="O167">
        <v>14.22</v>
      </c>
      <c r="P167">
        <v>2.2799999999999998</v>
      </c>
      <c r="Q167">
        <v>4.2561999999999998</v>
      </c>
      <c r="R167">
        <v>0.68100000000000005</v>
      </c>
      <c r="S167" t="s">
        <v>1180</v>
      </c>
      <c r="T167">
        <v>6</v>
      </c>
      <c r="U167" t="s">
        <v>89</v>
      </c>
      <c r="W167" t="s">
        <v>754</v>
      </c>
    </row>
    <row r="168" spans="1:23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8662</v>
      </c>
      <c r="H168" t="s">
        <v>36</v>
      </c>
      <c r="I168">
        <v>1000008662</v>
      </c>
      <c r="J168">
        <v>29468233</v>
      </c>
      <c r="K168" s="38">
        <v>44777.900810185187</v>
      </c>
      <c r="L168" t="s">
        <v>752</v>
      </c>
      <c r="M168" t="s">
        <v>88</v>
      </c>
      <c r="N168">
        <v>156.5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1182</v>
      </c>
      <c r="T168">
        <v>6</v>
      </c>
      <c r="U168" t="s">
        <v>89</v>
      </c>
      <c r="W168" t="s">
        <v>754</v>
      </c>
    </row>
    <row r="169" spans="1:23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8662</v>
      </c>
      <c r="H169" t="s">
        <v>36</v>
      </c>
      <c r="I169">
        <v>1000008662</v>
      </c>
      <c r="J169">
        <v>29468443</v>
      </c>
      <c r="K169" s="38">
        <v>44777.906550925924</v>
      </c>
      <c r="L169" t="s">
        <v>752</v>
      </c>
      <c r="M169" t="s">
        <v>88</v>
      </c>
      <c r="N169">
        <v>109.5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1184</v>
      </c>
      <c r="T169">
        <v>6</v>
      </c>
      <c r="U169" t="s">
        <v>89</v>
      </c>
      <c r="W169" t="s">
        <v>754</v>
      </c>
    </row>
    <row r="170" spans="1:23" outlineLevel="2" x14ac:dyDescent="0.25">
      <c r="A170" s="8" t="s">
        <v>82</v>
      </c>
      <c r="B170" s="8" t="s">
        <v>83</v>
      </c>
      <c r="C170" s="8">
        <v>30</v>
      </c>
      <c r="D170" s="8" t="s">
        <v>84</v>
      </c>
      <c r="E170" s="8">
        <v>184</v>
      </c>
      <c r="F170" s="8" t="s">
        <v>85</v>
      </c>
      <c r="G170" s="8">
        <v>8662</v>
      </c>
      <c r="H170" s="8" t="s">
        <v>36</v>
      </c>
      <c r="I170" s="8">
        <v>1000008662</v>
      </c>
      <c r="J170" s="8">
        <v>29468694</v>
      </c>
      <c r="K170" s="39">
        <v>44777.915023148147</v>
      </c>
      <c r="L170" s="8" t="s">
        <v>752</v>
      </c>
      <c r="M170" s="8" t="s">
        <v>88</v>
      </c>
      <c r="N170" s="8">
        <v>174.5</v>
      </c>
      <c r="O170" s="8">
        <v>14.22</v>
      </c>
      <c r="P170" s="8">
        <v>2.2799999999999998</v>
      </c>
      <c r="Q170" s="8">
        <v>4.2561999999999998</v>
      </c>
      <c r="R170" s="8">
        <v>0.68100000000000005</v>
      </c>
      <c r="S170" s="8" t="s">
        <v>1263</v>
      </c>
      <c r="T170" s="8">
        <v>6</v>
      </c>
      <c r="U170" s="8" t="s">
        <v>89</v>
      </c>
      <c r="V170" s="8"/>
      <c r="W170" t="s">
        <v>754</v>
      </c>
    </row>
    <row r="171" spans="1:23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8662</v>
      </c>
      <c r="H171" t="s">
        <v>36</v>
      </c>
      <c r="I171">
        <v>1000008662</v>
      </c>
      <c r="J171">
        <v>29469358</v>
      </c>
      <c r="K171" s="38">
        <v>44777.954664351855</v>
      </c>
      <c r="L171" t="s">
        <v>752</v>
      </c>
      <c r="M171" t="s">
        <v>88</v>
      </c>
      <c r="N171">
        <v>136.5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1186</v>
      </c>
      <c r="T171">
        <v>6</v>
      </c>
      <c r="U171" t="s">
        <v>89</v>
      </c>
      <c r="W171" t="s">
        <v>754</v>
      </c>
    </row>
    <row r="172" spans="1:23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8662</v>
      </c>
      <c r="H172" t="s">
        <v>36</v>
      </c>
      <c r="I172">
        <v>1000008662</v>
      </c>
      <c r="J172">
        <v>29469375</v>
      </c>
      <c r="K172" s="38">
        <v>44777.957824074074</v>
      </c>
      <c r="L172" t="s">
        <v>752</v>
      </c>
      <c r="M172" t="s">
        <v>88</v>
      </c>
      <c r="N172">
        <v>127.5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1188</v>
      </c>
      <c r="T172">
        <v>6</v>
      </c>
      <c r="U172" t="s">
        <v>89</v>
      </c>
      <c r="W172" t="s">
        <v>754</v>
      </c>
    </row>
    <row r="173" spans="1:23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8663</v>
      </c>
      <c r="H173" t="s">
        <v>42</v>
      </c>
      <c r="I173">
        <v>1000008663</v>
      </c>
      <c r="J173">
        <v>29427198</v>
      </c>
      <c r="K173" s="38">
        <v>44774.394016203703</v>
      </c>
      <c r="L173" t="s">
        <v>752</v>
      </c>
      <c r="M173" t="s">
        <v>88</v>
      </c>
      <c r="N173">
        <v>445.5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1574</v>
      </c>
      <c r="T173">
        <v>6</v>
      </c>
      <c r="U173" t="s">
        <v>89</v>
      </c>
      <c r="W173" t="s">
        <v>754</v>
      </c>
    </row>
    <row r="174" spans="1:23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8663</v>
      </c>
      <c r="H174" t="s">
        <v>42</v>
      </c>
      <c r="I174">
        <v>1000008663</v>
      </c>
      <c r="J174">
        <v>29427221</v>
      </c>
      <c r="K174" s="38">
        <v>44774.396249999998</v>
      </c>
      <c r="L174" t="s">
        <v>752</v>
      </c>
      <c r="M174" t="s">
        <v>88</v>
      </c>
      <c r="N174">
        <v>689.5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586</v>
      </c>
      <c r="T174">
        <v>6</v>
      </c>
      <c r="U174" t="s">
        <v>89</v>
      </c>
      <c r="W174" t="s">
        <v>754</v>
      </c>
    </row>
    <row r="175" spans="1:23" outlineLevel="2" x14ac:dyDescent="0.25">
      <c r="A175" s="8" t="s">
        <v>82</v>
      </c>
      <c r="B175" s="8" t="s">
        <v>83</v>
      </c>
      <c r="C175" s="8">
        <v>30</v>
      </c>
      <c r="D175" s="8" t="s">
        <v>84</v>
      </c>
      <c r="E175" s="8">
        <v>184</v>
      </c>
      <c r="F175" s="8" t="s">
        <v>85</v>
      </c>
      <c r="G175" s="8">
        <v>8663</v>
      </c>
      <c r="H175" s="8" t="s">
        <v>42</v>
      </c>
      <c r="I175" s="8">
        <v>1000008663</v>
      </c>
      <c r="J175" s="8">
        <v>29427477</v>
      </c>
      <c r="K175" s="39">
        <v>44774.414178240739</v>
      </c>
      <c r="L175" s="8" t="s">
        <v>752</v>
      </c>
      <c r="M175" s="8" t="s">
        <v>88</v>
      </c>
      <c r="N175" s="8">
        <v>120.5</v>
      </c>
      <c r="O175" s="8">
        <v>14.22</v>
      </c>
      <c r="P175" s="8">
        <v>2.2799999999999998</v>
      </c>
      <c r="Q175" s="8">
        <v>4.2561999999999998</v>
      </c>
      <c r="R175" s="8">
        <v>0.68100000000000005</v>
      </c>
      <c r="S175" s="8" t="s">
        <v>507</v>
      </c>
      <c r="T175" s="8">
        <v>6</v>
      </c>
      <c r="U175" s="8" t="s">
        <v>89</v>
      </c>
      <c r="V175" s="8"/>
      <c r="W175" t="s">
        <v>754</v>
      </c>
    </row>
    <row r="176" spans="1:23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8663</v>
      </c>
      <c r="H176" t="s">
        <v>42</v>
      </c>
      <c r="I176">
        <v>1000008663</v>
      </c>
      <c r="J176">
        <v>29427496</v>
      </c>
      <c r="K176" s="38">
        <v>44774.415451388886</v>
      </c>
      <c r="L176" t="s">
        <v>752</v>
      </c>
      <c r="M176" t="s">
        <v>88</v>
      </c>
      <c r="N176">
        <v>129.5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508</v>
      </c>
      <c r="T176">
        <v>6</v>
      </c>
      <c r="U176" t="s">
        <v>89</v>
      </c>
      <c r="W176" t="s">
        <v>754</v>
      </c>
    </row>
    <row r="177" spans="1:23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8663</v>
      </c>
      <c r="H177" t="s">
        <v>42</v>
      </c>
      <c r="I177">
        <v>1000008663</v>
      </c>
      <c r="J177">
        <v>29427580</v>
      </c>
      <c r="K177" s="38">
        <v>44774.4219212963</v>
      </c>
      <c r="L177" t="s">
        <v>752</v>
      </c>
      <c r="M177" t="s">
        <v>88</v>
      </c>
      <c r="N177">
        <v>135.5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1578</v>
      </c>
      <c r="T177">
        <v>6</v>
      </c>
      <c r="U177" t="s">
        <v>89</v>
      </c>
      <c r="W177" t="s">
        <v>754</v>
      </c>
    </row>
    <row r="178" spans="1:23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8663</v>
      </c>
      <c r="H178" t="s">
        <v>42</v>
      </c>
      <c r="I178">
        <v>1000008663</v>
      </c>
      <c r="J178">
        <v>29429717</v>
      </c>
      <c r="K178" s="38">
        <v>44774.551898148151</v>
      </c>
      <c r="L178" t="s">
        <v>752</v>
      </c>
      <c r="M178" t="s">
        <v>88</v>
      </c>
      <c r="N178">
        <v>304.5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445</v>
      </c>
      <c r="T178">
        <v>6</v>
      </c>
      <c r="U178" t="s">
        <v>89</v>
      </c>
      <c r="W178" t="s">
        <v>754</v>
      </c>
    </row>
    <row r="179" spans="1:23" outlineLevel="2" x14ac:dyDescent="0.25">
      <c r="A179" s="8" t="s">
        <v>82</v>
      </c>
      <c r="B179" s="8" t="s">
        <v>83</v>
      </c>
      <c r="C179" s="8">
        <v>30</v>
      </c>
      <c r="D179" s="8" t="s">
        <v>84</v>
      </c>
      <c r="E179" s="8">
        <v>184</v>
      </c>
      <c r="F179" s="8" t="s">
        <v>85</v>
      </c>
      <c r="G179" s="8">
        <v>8663</v>
      </c>
      <c r="H179" s="8" t="s">
        <v>42</v>
      </c>
      <c r="I179" s="8">
        <v>1000008663</v>
      </c>
      <c r="J179" s="8">
        <v>29431066</v>
      </c>
      <c r="K179" s="39">
        <v>44774.66741898148</v>
      </c>
      <c r="L179" s="8" t="s">
        <v>752</v>
      </c>
      <c r="M179" s="8" t="s">
        <v>88</v>
      </c>
      <c r="N179" s="8">
        <v>98.5</v>
      </c>
      <c r="O179" s="8">
        <v>14.22</v>
      </c>
      <c r="P179" s="8">
        <v>2.2799999999999998</v>
      </c>
      <c r="Q179" s="8">
        <v>4.2561999999999998</v>
      </c>
      <c r="R179" s="8">
        <v>0.68100000000000005</v>
      </c>
      <c r="S179" s="8" t="s">
        <v>452</v>
      </c>
      <c r="T179" s="8">
        <v>6</v>
      </c>
      <c r="U179" s="8" t="s">
        <v>89</v>
      </c>
      <c r="V179" s="8"/>
      <c r="W179" t="s">
        <v>754</v>
      </c>
    </row>
    <row r="180" spans="1:23" outlineLevel="2" x14ac:dyDescent="0.25">
      <c r="A180" s="8" t="s">
        <v>82</v>
      </c>
      <c r="B180" s="8" t="s">
        <v>83</v>
      </c>
      <c r="C180" s="8">
        <v>30</v>
      </c>
      <c r="D180" s="8" t="s">
        <v>84</v>
      </c>
      <c r="E180" s="8">
        <v>184</v>
      </c>
      <c r="F180" s="8" t="s">
        <v>85</v>
      </c>
      <c r="G180" s="8">
        <v>8663</v>
      </c>
      <c r="H180" s="8" t="s">
        <v>42</v>
      </c>
      <c r="I180" s="8">
        <v>1000008663</v>
      </c>
      <c r="J180" s="8">
        <v>29432115</v>
      </c>
      <c r="K180" s="39">
        <v>44774.765300925923</v>
      </c>
      <c r="L180" s="8" t="s">
        <v>752</v>
      </c>
      <c r="M180" s="8" t="s">
        <v>88</v>
      </c>
      <c r="N180" s="8">
        <v>189.5</v>
      </c>
      <c r="O180" s="8">
        <v>14.22</v>
      </c>
      <c r="P180" s="8">
        <v>2.2799999999999998</v>
      </c>
      <c r="Q180" s="8">
        <v>4.2561999999999998</v>
      </c>
      <c r="R180" s="8">
        <v>0.68100000000000005</v>
      </c>
      <c r="S180" s="8" t="s">
        <v>588</v>
      </c>
      <c r="T180" s="8">
        <v>6</v>
      </c>
      <c r="U180" s="8" t="s">
        <v>89</v>
      </c>
      <c r="V180" s="8"/>
      <c r="W180" t="s">
        <v>754</v>
      </c>
    </row>
    <row r="181" spans="1:23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8663</v>
      </c>
      <c r="H181" t="s">
        <v>42</v>
      </c>
      <c r="I181">
        <v>1000008663</v>
      </c>
      <c r="J181">
        <v>29435011</v>
      </c>
      <c r="K181" s="38">
        <v>44775.445231481484</v>
      </c>
      <c r="L181" t="s">
        <v>752</v>
      </c>
      <c r="M181" t="s">
        <v>88</v>
      </c>
      <c r="N181">
        <v>131.5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600</v>
      </c>
      <c r="T181">
        <v>6</v>
      </c>
      <c r="U181" t="s">
        <v>89</v>
      </c>
      <c r="W181" t="s">
        <v>754</v>
      </c>
    </row>
    <row r="182" spans="1:23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8663</v>
      </c>
      <c r="H182" t="s">
        <v>42</v>
      </c>
      <c r="I182">
        <v>1000008663</v>
      </c>
      <c r="J182">
        <v>29438863</v>
      </c>
      <c r="K182" s="38">
        <v>44775.753923611112</v>
      </c>
      <c r="L182" t="s">
        <v>752</v>
      </c>
      <c r="M182" t="s">
        <v>88</v>
      </c>
      <c r="N182">
        <v>56.5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792</v>
      </c>
      <c r="T182">
        <v>6</v>
      </c>
      <c r="U182" t="s">
        <v>89</v>
      </c>
      <c r="W182" t="s">
        <v>754</v>
      </c>
    </row>
    <row r="183" spans="1:23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8663</v>
      </c>
      <c r="H183" t="s">
        <v>42</v>
      </c>
      <c r="I183">
        <v>1000008663</v>
      </c>
      <c r="J183">
        <v>29439891</v>
      </c>
      <c r="K183" s="38">
        <v>44775.824178240742</v>
      </c>
      <c r="L183" t="s">
        <v>752</v>
      </c>
      <c r="M183" t="s">
        <v>88</v>
      </c>
      <c r="N183">
        <v>85.5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525</v>
      </c>
      <c r="T183">
        <v>6</v>
      </c>
      <c r="U183" t="s">
        <v>89</v>
      </c>
      <c r="W183" t="s">
        <v>754</v>
      </c>
    </row>
    <row r="184" spans="1:23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8663</v>
      </c>
      <c r="H184" t="s">
        <v>42</v>
      </c>
      <c r="I184">
        <v>1000008663</v>
      </c>
      <c r="J184">
        <v>29439907</v>
      </c>
      <c r="K184" s="38">
        <v>44775.825335648151</v>
      </c>
      <c r="L184" t="s">
        <v>752</v>
      </c>
      <c r="M184" t="s">
        <v>88</v>
      </c>
      <c r="N184">
        <v>45.5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524</v>
      </c>
      <c r="T184">
        <v>6</v>
      </c>
      <c r="U184" t="s">
        <v>89</v>
      </c>
      <c r="W184" t="s">
        <v>754</v>
      </c>
    </row>
    <row r="185" spans="1:23" outlineLevel="2" x14ac:dyDescent="0.25">
      <c r="A185" s="8" t="s">
        <v>82</v>
      </c>
      <c r="B185" s="8" t="s">
        <v>83</v>
      </c>
      <c r="C185" s="8">
        <v>30</v>
      </c>
      <c r="D185" s="8" t="s">
        <v>84</v>
      </c>
      <c r="E185" s="8">
        <v>184</v>
      </c>
      <c r="F185" s="8" t="s">
        <v>85</v>
      </c>
      <c r="G185" s="8">
        <v>8663</v>
      </c>
      <c r="H185" s="8" t="s">
        <v>42</v>
      </c>
      <c r="I185" s="8">
        <v>1000008663</v>
      </c>
      <c r="J185" s="8">
        <v>29442896</v>
      </c>
      <c r="K185" s="39">
        <v>44776.484039351853</v>
      </c>
      <c r="L185" s="8" t="s">
        <v>752</v>
      </c>
      <c r="M185" s="8" t="s">
        <v>88</v>
      </c>
      <c r="N185" s="8">
        <v>165.5</v>
      </c>
      <c r="O185" s="8">
        <v>14.22</v>
      </c>
      <c r="P185" s="8">
        <v>2.2799999999999998</v>
      </c>
      <c r="Q185" s="8">
        <v>4.2561999999999998</v>
      </c>
      <c r="R185" s="8">
        <v>0.68100000000000005</v>
      </c>
      <c r="S185" s="8" t="s">
        <v>674</v>
      </c>
      <c r="T185" s="8">
        <v>6</v>
      </c>
      <c r="U185" s="8" t="s">
        <v>89</v>
      </c>
      <c r="V185" s="8"/>
      <c r="W185" t="s">
        <v>754</v>
      </c>
    </row>
    <row r="186" spans="1:23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8663</v>
      </c>
      <c r="H186" t="s">
        <v>42</v>
      </c>
      <c r="I186">
        <v>1000008663</v>
      </c>
      <c r="J186">
        <v>29443174</v>
      </c>
      <c r="K186" s="38">
        <v>44776.499560185184</v>
      </c>
      <c r="L186" t="s">
        <v>752</v>
      </c>
      <c r="M186" t="s">
        <v>88</v>
      </c>
      <c r="N186">
        <v>189.5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1399</v>
      </c>
      <c r="T186">
        <v>6</v>
      </c>
      <c r="U186" t="s">
        <v>89</v>
      </c>
      <c r="W186" t="s">
        <v>754</v>
      </c>
    </row>
    <row r="187" spans="1:23" outlineLevel="2" x14ac:dyDescent="0.25">
      <c r="A187" s="8" t="s">
        <v>82</v>
      </c>
      <c r="B187" s="8" t="s">
        <v>83</v>
      </c>
      <c r="C187" s="8">
        <v>30</v>
      </c>
      <c r="D187" s="8" t="s">
        <v>84</v>
      </c>
      <c r="E187" s="8">
        <v>184</v>
      </c>
      <c r="F187" s="8" t="s">
        <v>85</v>
      </c>
      <c r="G187" s="8">
        <v>8663</v>
      </c>
      <c r="H187" s="8" t="s">
        <v>42</v>
      </c>
      <c r="I187" s="8">
        <v>1000008663</v>
      </c>
      <c r="J187" s="8">
        <v>29444376</v>
      </c>
      <c r="K187" s="39">
        <v>44776.575868055559</v>
      </c>
      <c r="L187" s="8" t="s">
        <v>753</v>
      </c>
      <c r="M187" s="8" t="s">
        <v>88</v>
      </c>
      <c r="N187" s="8">
        <v>93.5</v>
      </c>
      <c r="O187" s="8">
        <v>14.22</v>
      </c>
      <c r="P187" s="8">
        <v>2.2799999999999998</v>
      </c>
      <c r="Q187" s="8">
        <v>4.2561999999999998</v>
      </c>
      <c r="R187" s="8">
        <v>0.68100000000000005</v>
      </c>
      <c r="S187" s="8" t="s">
        <v>1454</v>
      </c>
      <c r="T187" s="8">
        <v>6</v>
      </c>
      <c r="U187" s="8" t="s">
        <v>89</v>
      </c>
      <c r="V187" s="8"/>
      <c r="W187" t="s">
        <v>754</v>
      </c>
    </row>
    <row r="188" spans="1:23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8663</v>
      </c>
      <c r="H188" t="s">
        <v>42</v>
      </c>
      <c r="I188">
        <v>1000008663</v>
      </c>
      <c r="J188">
        <v>29444875</v>
      </c>
      <c r="K188" s="38">
        <v>44776.61613425926</v>
      </c>
      <c r="L188" t="s">
        <v>752</v>
      </c>
      <c r="M188" t="s">
        <v>88</v>
      </c>
      <c r="N188">
        <v>130.5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1401</v>
      </c>
      <c r="T188">
        <v>6</v>
      </c>
      <c r="U188" t="s">
        <v>89</v>
      </c>
      <c r="W188" t="s">
        <v>754</v>
      </c>
    </row>
    <row r="189" spans="1:23" outlineLevel="2" x14ac:dyDescent="0.25">
      <c r="A189" s="8" t="s">
        <v>82</v>
      </c>
      <c r="B189" s="8" t="s">
        <v>83</v>
      </c>
      <c r="C189" s="8">
        <v>30</v>
      </c>
      <c r="D189" s="8" t="s">
        <v>84</v>
      </c>
      <c r="E189" s="8">
        <v>184</v>
      </c>
      <c r="F189" s="8" t="s">
        <v>85</v>
      </c>
      <c r="G189" s="8">
        <v>8663</v>
      </c>
      <c r="H189" s="8" t="s">
        <v>42</v>
      </c>
      <c r="I189" s="8">
        <v>1000008663</v>
      </c>
      <c r="J189" s="8">
        <v>29448452</v>
      </c>
      <c r="K189" s="39">
        <v>44776.834618055553</v>
      </c>
      <c r="L189" s="8" t="s">
        <v>752</v>
      </c>
      <c r="M189" s="8" t="s">
        <v>88</v>
      </c>
      <c r="N189" s="8">
        <v>44.5</v>
      </c>
      <c r="O189" s="8">
        <v>14.22</v>
      </c>
      <c r="P189" s="8">
        <v>2.2799999999999998</v>
      </c>
      <c r="Q189" s="8">
        <v>4.2561999999999998</v>
      </c>
      <c r="R189" s="8">
        <v>0.68100000000000005</v>
      </c>
      <c r="S189" s="8" t="s">
        <v>1456</v>
      </c>
      <c r="T189" s="8">
        <v>6</v>
      </c>
      <c r="U189" s="8" t="s">
        <v>89</v>
      </c>
      <c r="V189" s="8"/>
    </row>
    <row r="190" spans="1:23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8663</v>
      </c>
      <c r="H190" t="s">
        <v>42</v>
      </c>
      <c r="I190">
        <v>1000008663</v>
      </c>
      <c r="J190">
        <v>29449812</v>
      </c>
      <c r="K190" s="38">
        <v>44777.300729166665</v>
      </c>
      <c r="L190" t="s">
        <v>752</v>
      </c>
      <c r="M190" t="s">
        <v>88</v>
      </c>
      <c r="N190">
        <v>106.5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1190</v>
      </c>
      <c r="T190">
        <v>6</v>
      </c>
      <c r="U190" t="s">
        <v>89</v>
      </c>
      <c r="W190" t="s">
        <v>754</v>
      </c>
    </row>
    <row r="191" spans="1:23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8663</v>
      </c>
      <c r="H191" t="s">
        <v>42</v>
      </c>
      <c r="I191">
        <v>1000008663</v>
      </c>
      <c r="J191">
        <v>29450563</v>
      </c>
      <c r="K191" s="38">
        <v>44777.38616898148</v>
      </c>
      <c r="L191" t="s">
        <v>752</v>
      </c>
      <c r="M191" t="s">
        <v>88</v>
      </c>
      <c r="N191">
        <v>151.5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1192</v>
      </c>
      <c r="T191">
        <v>6</v>
      </c>
      <c r="U191" t="s">
        <v>89</v>
      </c>
      <c r="W191" t="s">
        <v>754</v>
      </c>
    </row>
    <row r="192" spans="1:23" outlineLevel="2" x14ac:dyDescent="0.25">
      <c r="A192" s="8" t="s">
        <v>82</v>
      </c>
      <c r="B192" s="8" t="s">
        <v>83</v>
      </c>
      <c r="C192" s="8">
        <v>30</v>
      </c>
      <c r="D192" s="8" t="s">
        <v>84</v>
      </c>
      <c r="E192" s="8">
        <v>184</v>
      </c>
      <c r="F192" s="8" t="s">
        <v>85</v>
      </c>
      <c r="G192" s="8">
        <v>8663</v>
      </c>
      <c r="H192" s="8" t="s">
        <v>42</v>
      </c>
      <c r="I192" s="8">
        <v>1000008663</v>
      </c>
      <c r="J192" s="8">
        <v>29450757</v>
      </c>
      <c r="K192" s="39">
        <v>44777.396481481483</v>
      </c>
      <c r="L192" s="8" t="s">
        <v>753</v>
      </c>
      <c r="M192" s="8" t="s">
        <v>88</v>
      </c>
      <c r="N192" s="8">
        <v>160.5</v>
      </c>
      <c r="O192" s="8">
        <v>14.22</v>
      </c>
      <c r="P192" s="8">
        <v>2.2799999999999998</v>
      </c>
      <c r="Q192" s="8">
        <v>4.2561999999999998</v>
      </c>
      <c r="R192" s="8">
        <v>0.68100000000000005</v>
      </c>
      <c r="S192" s="8" t="s">
        <v>1265</v>
      </c>
      <c r="T192" s="8">
        <v>6</v>
      </c>
      <c r="U192" s="8" t="s">
        <v>89</v>
      </c>
      <c r="V192" s="8"/>
      <c r="W192" t="s">
        <v>754</v>
      </c>
    </row>
    <row r="193" spans="1:23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8663</v>
      </c>
      <c r="H193" t="s">
        <v>42</v>
      </c>
      <c r="I193">
        <v>1000008663</v>
      </c>
      <c r="J193">
        <v>29451131</v>
      </c>
      <c r="K193" s="38">
        <v>44777.41306712963</v>
      </c>
      <c r="L193" t="s">
        <v>752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1194</v>
      </c>
      <c r="T193">
        <v>6</v>
      </c>
      <c r="U193" t="s">
        <v>89</v>
      </c>
      <c r="W193" t="s">
        <v>754</v>
      </c>
    </row>
    <row r="194" spans="1:23" outlineLevel="2" x14ac:dyDescent="0.25">
      <c r="A194" s="7" t="s">
        <v>82</v>
      </c>
      <c r="B194" s="7" t="s">
        <v>83</v>
      </c>
      <c r="C194" s="7">
        <v>30</v>
      </c>
      <c r="D194" s="7" t="s">
        <v>84</v>
      </c>
      <c r="E194" s="7">
        <v>184</v>
      </c>
      <c r="F194" s="7" t="s">
        <v>85</v>
      </c>
      <c r="G194" s="7">
        <v>8663</v>
      </c>
      <c r="H194" s="7" t="s">
        <v>42</v>
      </c>
      <c r="I194" s="7">
        <v>1000008663</v>
      </c>
      <c r="J194" s="7">
        <v>29454579</v>
      </c>
      <c r="K194" s="40">
        <v>44777.542569444442</v>
      </c>
      <c r="L194" s="7" t="s">
        <v>752</v>
      </c>
      <c r="M194" s="7" t="s">
        <v>88</v>
      </c>
      <c r="N194" s="7">
        <v>710.5</v>
      </c>
      <c r="O194" s="7">
        <v>14.22</v>
      </c>
      <c r="P194" s="7">
        <v>2.2799999999999998</v>
      </c>
      <c r="Q194" s="7">
        <v>4.2561999999999998</v>
      </c>
      <c r="R194" s="7">
        <v>0.68100000000000005</v>
      </c>
      <c r="S194" s="7" t="s">
        <v>1196</v>
      </c>
      <c r="T194" s="7">
        <v>6</v>
      </c>
      <c r="U194" s="7" t="s">
        <v>89</v>
      </c>
      <c r="V194" s="7"/>
      <c r="W194" t="s">
        <v>754</v>
      </c>
    </row>
    <row r="195" spans="1:23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8663</v>
      </c>
      <c r="H195" t="s">
        <v>42</v>
      </c>
      <c r="I195">
        <v>1000008663</v>
      </c>
      <c r="J195">
        <v>29454642</v>
      </c>
      <c r="K195" s="38">
        <v>44777.545324074075</v>
      </c>
      <c r="L195" t="s">
        <v>752</v>
      </c>
      <c r="M195" t="s">
        <v>88</v>
      </c>
      <c r="N195">
        <v>53.5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1198</v>
      </c>
      <c r="T195">
        <v>6</v>
      </c>
      <c r="U195" t="s">
        <v>89</v>
      </c>
      <c r="W195" t="s">
        <v>754</v>
      </c>
    </row>
    <row r="196" spans="1:23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8663</v>
      </c>
      <c r="H196" t="s">
        <v>42</v>
      </c>
      <c r="I196">
        <v>1000008663</v>
      </c>
      <c r="J196">
        <v>29456832</v>
      </c>
      <c r="K196" s="38">
        <v>44777.631782407407</v>
      </c>
      <c r="L196" t="s">
        <v>752</v>
      </c>
      <c r="M196" t="s">
        <v>88</v>
      </c>
      <c r="N196">
        <v>137.5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1200</v>
      </c>
      <c r="T196">
        <v>6</v>
      </c>
      <c r="U196" t="s">
        <v>89</v>
      </c>
      <c r="W196" t="s">
        <v>754</v>
      </c>
    </row>
    <row r="197" spans="1:23" outlineLevel="2" x14ac:dyDescent="0.25">
      <c r="A197" t="s">
        <v>82</v>
      </c>
      <c r="B197" t="s">
        <v>83</v>
      </c>
      <c r="C197">
        <v>30</v>
      </c>
      <c r="D197" t="s">
        <v>84</v>
      </c>
      <c r="E197">
        <v>184</v>
      </c>
      <c r="F197" t="s">
        <v>85</v>
      </c>
      <c r="G197">
        <v>8663</v>
      </c>
      <c r="H197" t="s">
        <v>42</v>
      </c>
      <c r="I197">
        <v>1000008663</v>
      </c>
      <c r="J197">
        <v>29456893</v>
      </c>
      <c r="K197" s="38">
        <v>44777.634525462963</v>
      </c>
      <c r="L197" t="s">
        <v>752</v>
      </c>
      <c r="M197" t="s">
        <v>88</v>
      </c>
      <c r="N197">
        <v>95.5</v>
      </c>
      <c r="O197">
        <v>14.22</v>
      </c>
      <c r="P197">
        <v>2.2799999999999998</v>
      </c>
      <c r="Q197">
        <v>4.2561999999999998</v>
      </c>
      <c r="R197">
        <v>0.68100000000000005</v>
      </c>
      <c r="S197" t="s">
        <v>1202</v>
      </c>
      <c r="T197">
        <v>6</v>
      </c>
      <c r="U197" t="s">
        <v>89</v>
      </c>
      <c r="W197" t="s">
        <v>754</v>
      </c>
    </row>
    <row r="198" spans="1:23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8663</v>
      </c>
      <c r="H198" t="s">
        <v>42</v>
      </c>
      <c r="I198">
        <v>1000008663</v>
      </c>
      <c r="J198">
        <v>29457539</v>
      </c>
      <c r="K198" s="38">
        <v>44777.660034722219</v>
      </c>
      <c r="L198" t="s">
        <v>752</v>
      </c>
      <c r="M198" t="s">
        <v>88</v>
      </c>
      <c r="N198">
        <v>167.5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1204</v>
      </c>
      <c r="T198">
        <v>6</v>
      </c>
      <c r="U198" t="s">
        <v>89</v>
      </c>
      <c r="W198" t="s">
        <v>754</v>
      </c>
    </row>
    <row r="199" spans="1:23" outlineLevel="2" x14ac:dyDescent="0.25">
      <c r="A199" t="s">
        <v>82</v>
      </c>
      <c r="B199" t="s">
        <v>83</v>
      </c>
      <c r="C199">
        <v>30</v>
      </c>
      <c r="D199" t="s">
        <v>84</v>
      </c>
      <c r="E199">
        <v>184</v>
      </c>
      <c r="F199" t="s">
        <v>85</v>
      </c>
      <c r="G199">
        <v>8664</v>
      </c>
      <c r="H199" t="s">
        <v>27</v>
      </c>
      <c r="I199">
        <v>1000008664</v>
      </c>
      <c r="J199">
        <v>29426861</v>
      </c>
      <c r="K199" s="38">
        <v>44774.356840277775</v>
      </c>
      <c r="L199" t="s">
        <v>752</v>
      </c>
      <c r="M199" t="s">
        <v>88</v>
      </c>
      <c r="N199">
        <v>55.5</v>
      </c>
      <c r="O199">
        <v>14.22</v>
      </c>
      <c r="P199">
        <v>2.2799999999999998</v>
      </c>
      <c r="Q199">
        <v>4.2561999999999998</v>
      </c>
      <c r="R199">
        <v>0.68100000000000005</v>
      </c>
      <c r="S199" t="s">
        <v>459</v>
      </c>
      <c r="T199">
        <v>6</v>
      </c>
      <c r="U199" t="s">
        <v>89</v>
      </c>
      <c r="W199" t="s">
        <v>754</v>
      </c>
    </row>
    <row r="200" spans="1:23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8664</v>
      </c>
      <c r="H200" t="s">
        <v>27</v>
      </c>
      <c r="I200">
        <v>1000008664</v>
      </c>
      <c r="J200">
        <v>29428337</v>
      </c>
      <c r="K200" s="38">
        <v>44774.467905092592</v>
      </c>
      <c r="L200" t="s">
        <v>752</v>
      </c>
      <c r="M200" t="s">
        <v>88</v>
      </c>
      <c r="N200">
        <v>116.5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602</v>
      </c>
      <c r="T200">
        <v>6</v>
      </c>
      <c r="U200" t="s">
        <v>89</v>
      </c>
      <c r="W200" t="s">
        <v>754</v>
      </c>
    </row>
    <row r="201" spans="1:23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8664</v>
      </c>
      <c r="H201" t="s">
        <v>27</v>
      </c>
      <c r="I201">
        <v>1000008664</v>
      </c>
      <c r="J201">
        <v>29429023</v>
      </c>
      <c r="K201" s="38">
        <v>44774.508043981485</v>
      </c>
      <c r="L201" t="s">
        <v>752</v>
      </c>
      <c r="M201" t="s">
        <v>88</v>
      </c>
      <c r="N201">
        <v>239.5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478</v>
      </c>
      <c r="T201">
        <v>6</v>
      </c>
      <c r="U201" t="s">
        <v>89</v>
      </c>
      <c r="W201" t="s">
        <v>754</v>
      </c>
    </row>
    <row r="202" spans="1:23" outlineLevel="2" x14ac:dyDescent="0.25">
      <c r="A202" t="s">
        <v>82</v>
      </c>
      <c r="B202" t="s">
        <v>83</v>
      </c>
      <c r="C202">
        <v>30</v>
      </c>
      <c r="D202" t="s">
        <v>84</v>
      </c>
      <c r="E202">
        <v>184</v>
      </c>
      <c r="F202" t="s">
        <v>85</v>
      </c>
      <c r="G202">
        <v>8664</v>
      </c>
      <c r="H202" t="s">
        <v>27</v>
      </c>
      <c r="I202">
        <v>1000008664</v>
      </c>
      <c r="J202">
        <v>29429043</v>
      </c>
      <c r="K202" s="38">
        <v>44774.509386574071</v>
      </c>
      <c r="L202" t="s">
        <v>752</v>
      </c>
      <c r="M202" t="s">
        <v>88</v>
      </c>
      <c r="N202">
        <v>44.5</v>
      </c>
      <c r="O202">
        <v>14.22</v>
      </c>
      <c r="P202">
        <v>2.2799999999999998</v>
      </c>
      <c r="Q202">
        <v>4.2561999999999998</v>
      </c>
      <c r="R202">
        <v>0.68100000000000005</v>
      </c>
      <c r="S202" t="s">
        <v>479</v>
      </c>
      <c r="T202">
        <v>6</v>
      </c>
      <c r="U202" t="s">
        <v>89</v>
      </c>
      <c r="W202" t="s">
        <v>754</v>
      </c>
    </row>
    <row r="203" spans="1:23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8664</v>
      </c>
      <c r="H203" t="s">
        <v>27</v>
      </c>
      <c r="I203">
        <v>1000008664</v>
      </c>
      <c r="J203">
        <v>29430510</v>
      </c>
      <c r="K203" s="38">
        <v>44774.614317129628</v>
      </c>
      <c r="L203" t="s">
        <v>752</v>
      </c>
      <c r="M203" t="s">
        <v>88</v>
      </c>
      <c r="N203">
        <v>308.5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473</v>
      </c>
      <c r="T203">
        <v>6</v>
      </c>
      <c r="U203" t="s">
        <v>89</v>
      </c>
      <c r="W203" t="s">
        <v>754</v>
      </c>
    </row>
    <row r="204" spans="1:23" outlineLevel="2" x14ac:dyDescent="0.25">
      <c r="A204" t="s">
        <v>82</v>
      </c>
      <c r="B204" t="s">
        <v>83</v>
      </c>
      <c r="C204">
        <v>30</v>
      </c>
      <c r="D204" t="s">
        <v>84</v>
      </c>
      <c r="E204">
        <v>184</v>
      </c>
      <c r="F204" t="s">
        <v>85</v>
      </c>
      <c r="G204">
        <v>8664</v>
      </c>
      <c r="H204" t="s">
        <v>27</v>
      </c>
      <c r="I204">
        <v>1000008664</v>
      </c>
      <c r="J204">
        <v>29432367</v>
      </c>
      <c r="K204" s="38">
        <v>44774.784212962964</v>
      </c>
      <c r="L204" t="s">
        <v>752</v>
      </c>
      <c r="M204" t="s">
        <v>88</v>
      </c>
      <c r="N204">
        <v>51.5</v>
      </c>
      <c r="O204">
        <v>14.22</v>
      </c>
      <c r="P204">
        <v>2.2799999999999998</v>
      </c>
      <c r="Q204">
        <v>4.2561999999999998</v>
      </c>
      <c r="R204">
        <v>0.68100000000000005</v>
      </c>
      <c r="S204" t="s">
        <v>599</v>
      </c>
      <c r="T204">
        <v>6</v>
      </c>
      <c r="U204" t="s">
        <v>89</v>
      </c>
      <c r="W204" t="s">
        <v>754</v>
      </c>
    </row>
    <row r="205" spans="1:23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8664</v>
      </c>
      <c r="H205" t="s">
        <v>27</v>
      </c>
      <c r="I205">
        <v>1000008664</v>
      </c>
      <c r="J205">
        <v>29433128</v>
      </c>
      <c r="K205" s="38">
        <v>44774.841747685183</v>
      </c>
      <c r="L205" t="s">
        <v>752</v>
      </c>
      <c r="M205" t="s">
        <v>88</v>
      </c>
      <c r="N205">
        <v>45.5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485</v>
      </c>
      <c r="T205">
        <v>6</v>
      </c>
      <c r="U205" t="s">
        <v>89</v>
      </c>
      <c r="W205" t="s">
        <v>754</v>
      </c>
    </row>
    <row r="206" spans="1:23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8664</v>
      </c>
      <c r="H206" t="s">
        <v>27</v>
      </c>
      <c r="I206">
        <v>1000008664</v>
      </c>
      <c r="J206">
        <v>29434574</v>
      </c>
      <c r="K206" s="38">
        <v>44775.412719907406</v>
      </c>
      <c r="L206" t="s">
        <v>752</v>
      </c>
      <c r="M206" t="s">
        <v>88</v>
      </c>
      <c r="N206">
        <v>44.5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796</v>
      </c>
      <c r="T206">
        <v>6</v>
      </c>
      <c r="U206" t="s">
        <v>89</v>
      </c>
      <c r="W206" t="s">
        <v>754</v>
      </c>
    </row>
    <row r="207" spans="1:23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8664</v>
      </c>
      <c r="H207" t="s">
        <v>27</v>
      </c>
      <c r="I207">
        <v>1000008664</v>
      </c>
      <c r="J207">
        <v>29434998</v>
      </c>
      <c r="K207" s="38">
        <v>44775.444201388891</v>
      </c>
      <c r="L207" t="s">
        <v>753</v>
      </c>
      <c r="M207" t="s">
        <v>88</v>
      </c>
      <c r="N207">
        <v>74.5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798</v>
      </c>
      <c r="T207">
        <v>6</v>
      </c>
      <c r="U207" t="s">
        <v>89</v>
      </c>
      <c r="W207" t="s">
        <v>754</v>
      </c>
    </row>
    <row r="208" spans="1:23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8664</v>
      </c>
      <c r="H208" t="s">
        <v>27</v>
      </c>
      <c r="I208">
        <v>1000008664</v>
      </c>
      <c r="J208">
        <v>29436597</v>
      </c>
      <c r="K208" s="38">
        <v>44775.552511574075</v>
      </c>
      <c r="L208" t="s">
        <v>752</v>
      </c>
      <c r="M208" t="s">
        <v>88</v>
      </c>
      <c r="N208">
        <v>212.5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800</v>
      </c>
      <c r="T208">
        <v>6</v>
      </c>
      <c r="U208" t="s">
        <v>89</v>
      </c>
      <c r="W208" t="s">
        <v>754</v>
      </c>
    </row>
    <row r="209" spans="1:23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8664</v>
      </c>
      <c r="H209" t="s">
        <v>27</v>
      </c>
      <c r="I209">
        <v>1000008664</v>
      </c>
      <c r="J209">
        <v>29438266</v>
      </c>
      <c r="K209" s="38">
        <v>44775.699594907404</v>
      </c>
      <c r="L209" t="s">
        <v>753</v>
      </c>
      <c r="M209" t="s">
        <v>88</v>
      </c>
      <c r="N209">
        <v>404.5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802</v>
      </c>
      <c r="T209">
        <v>6</v>
      </c>
      <c r="U209" t="s">
        <v>89</v>
      </c>
      <c r="W209" t="s">
        <v>754</v>
      </c>
    </row>
    <row r="210" spans="1:23" outlineLevel="2" x14ac:dyDescent="0.25">
      <c r="A210" t="s">
        <v>82</v>
      </c>
      <c r="B210" t="s">
        <v>83</v>
      </c>
      <c r="C210">
        <v>30</v>
      </c>
      <c r="D210" t="s">
        <v>84</v>
      </c>
      <c r="E210">
        <v>184</v>
      </c>
      <c r="F210" t="s">
        <v>85</v>
      </c>
      <c r="G210">
        <v>8664</v>
      </c>
      <c r="H210" t="s">
        <v>27</v>
      </c>
      <c r="I210">
        <v>1000008664</v>
      </c>
      <c r="J210">
        <v>29438388</v>
      </c>
      <c r="K210" s="38">
        <v>44775.710312499999</v>
      </c>
      <c r="L210" t="s">
        <v>752</v>
      </c>
      <c r="M210" t="s">
        <v>88</v>
      </c>
      <c r="N210">
        <v>44.5</v>
      </c>
      <c r="O210">
        <v>14.22</v>
      </c>
      <c r="P210">
        <v>2.2799999999999998</v>
      </c>
      <c r="Q210">
        <v>4.2561999999999998</v>
      </c>
      <c r="R210">
        <v>0.68100000000000005</v>
      </c>
      <c r="S210" t="s">
        <v>804</v>
      </c>
      <c r="T210">
        <v>6</v>
      </c>
      <c r="U210" t="s">
        <v>89</v>
      </c>
    </row>
    <row r="211" spans="1:23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8664</v>
      </c>
      <c r="H211" t="s">
        <v>27</v>
      </c>
      <c r="I211">
        <v>1000008664</v>
      </c>
      <c r="J211">
        <v>29440977</v>
      </c>
      <c r="K211" s="38">
        <v>44776.250231481485</v>
      </c>
      <c r="L211" t="s">
        <v>752</v>
      </c>
      <c r="M211" t="s">
        <v>88</v>
      </c>
      <c r="N211">
        <v>94.5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1403</v>
      </c>
      <c r="T211">
        <v>6</v>
      </c>
      <c r="U211" t="s">
        <v>89</v>
      </c>
      <c r="W211" t="s">
        <v>754</v>
      </c>
    </row>
    <row r="212" spans="1:23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8664</v>
      </c>
      <c r="H212" t="s">
        <v>27</v>
      </c>
      <c r="I212">
        <v>1000008664</v>
      </c>
      <c r="J212">
        <v>29441402</v>
      </c>
      <c r="K212" s="38">
        <v>44776.384444444448</v>
      </c>
      <c r="L212" t="s">
        <v>752</v>
      </c>
      <c r="M212" t="s">
        <v>88</v>
      </c>
      <c r="N212">
        <v>88.5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1405</v>
      </c>
      <c r="T212">
        <v>6</v>
      </c>
      <c r="U212" t="s">
        <v>89</v>
      </c>
      <c r="W212" t="s">
        <v>754</v>
      </c>
    </row>
    <row r="213" spans="1:23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8664</v>
      </c>
      <c r="H213" t="s">
        <v>27</v>
      </c>
      <c r="I213">
        <v>1000008664</v>
      </c>
      <c r="J213">
        <v>29441578</v>
      </c>
      <c r="K213" s="38">
        <v>44776.399641203701</v>
      </c>
      <c r="L213" t="s">
        <v>752</v>
      </c>
      <c r="M213" t="s">
        <v>88</v>
      </c>
      <c r="N213">
        <v>143.5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1407</v>
      </c>
      <c r="T213">
        <v>6</v>
      </c>
      <c r="U213" t="s">
        <v>89</v>
      </c>
      <c r="W213" t="s">
        <v>754</v>
      </c>
    </row>
    <row r="214" spans="1:23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8664</v>
      </c>
      <c r="H214" t="s">
        <v>27</v>
      </c>
      <c r="I214">
        <v>1000008664</v>
      </c>
      <c r="J214">
        <v>29441950</v>
      </c>
      <c r="K214" s="38">
        <v>44776.42728009259</v>
      </c>
      <c r="L214" t="s">
        <v>752</v>
      </c>
      <c r="M214" t="s">
        <v>88</v>
      </c>
      <c r="N214">
        <v>153.5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1409</v>
      </c>
      <c r="T214">
        <v>6</v>
      </c>
      <c r="U214" t="s">
        <v>89</v>
      </c>
      <c r="W214" t="s">
        <v>754</v>
      </c>
    </row>
    <row r="215" spans="1:23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8664</v>
      </c>
      <c r="H215" t="s">
        <v>27</v>
      </c>
      <c r="I215">
        <v>1000008664</v>
      </c>
      <c r="J215">
        <v>29444190</v>
      </c>
      <c r="K215" s="38">
        <v>44776.564837962964</v>
      </c>
      <c r="L215" t="s">
        <v>752</v>
      </c>
      <c r="M215" t="s">
        <v>88</v>
      </c>
      <c r="N215">
        <v>86.5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1411</v>
      </c>
      <c r="T215">
        <v>6</v>
      </c>
      <c r="U215" t="s">
        <v>89</v>
      </c>
      <c r="W215" t="s">
        <v>754</v>
      </c>
    </row>
    <row r="216" spans="1:23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8664</v>
      </c>
      <c r="H216" t="s">
        <v>27</v>
      </c>
      <c r="I216">
        <v>1000008664</v>
      </c>
      <c r="J216">
        <v>29444560</v>
      </c>
      <c r="K216" s="38">
        <v>44776.589375000003</v>
      </c>
      <c r="L216" t="s">
        <v>752</v>
      </c>
      <c r="M216" t="s">
        <v>88</v>
      </c>
      <c r="N216">
        <v>144.5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1413</v>
      </c>
      <c r="T216">
        <v>6</v>
      </c>
      <c r="U216" t="s">
        <v>89</v>
      </c>
      <c r="W216" t="s">
        <v>754</v>
      </c>
    </row>
    <row r="217" spans="1:23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8664</v>
      </c>
      <c r="H217" t="s">
        <v>27</v>
      </c>
      <c r="I217">
        <v>1000008664</v>
      </c>
      <c r="J217">
        <v>29444644</v>
      </c>
      <c r="K217" s="38">
        <v>44776.597997685189</v>
      </c>
      <c r="L217" t="s">
        <v>753</v>
      </c>
      <c r="M217" t="s">
        <v>88</v>
      </c>
      <c r="N217">
        <v>44.5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678</v>
      </c>
      <c r="T217">
        <v>6</v>
      </c>
      <c r="U217" t="s">
        <v>89</v>
      </c>
      <c r="W217" t="s">
        <v>754</v>
      </c>
    </row>
    <row r="218" spans="1:23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8664</v>
      </c>
      <c r="H218" t="s">
        <v>27</v>
      </c>
      <c r="I218">
        <v>1000008664</v>
      </c>
      <c r="J218">
        <v>29444677</v>
      </c>
      <c r="K218" s="38">
        <v>44776.600081018521</v>
      </c>
      <c r="L218" t="s">
        <v>753</v>
      </c>
      <c r="M218" t="s">
        <v>88</v>
      </c>
      <c r="N218">
        <v>299.5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677</v>
      </c>
      <c r="T218">
        <v>6</v>
      </c>
      <c r="U218" t="s">
        <v>89</v>
      </c>
      <c r="W218" t="s">
        <v>754</v>
      </c>
    </row>
    <row r="219" spans="1:23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8664</v>
      </c>
      <c r="H219" t="s">
        <v>27</v>
      </c>
      <c r="I219">
        <v>1000008664</v>
      </c>
      <c r="J219">
        <v>29445351</v>
      </c>
      <c r="K219" s="38">
        <v>44776.654479166667</v>
      </c>
      <c r="L219" t="s">
        <v>752</v>
      </c>
      <c r="M219" t="s">
        <v>88</v>
      </c>
      <c r="N219">
        <v>143.5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603</v>
      </c>
      <c r="T219">
        <v>6</v>
      </c>
      <c r="U219" t="s">
        <v>89</v>
      </c>
      <c r="W219" t="s">
        <v>754</v>
      </c>
    </row>
    <row r="220" spans="1:23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8664</v>
      </c>
      <c r="H220" t="s">
        <v>27</v>
      </c>
      <c r="I220">
        <v>1000008664</v>
      </c>
      <c r="J220">
        <v>29450096</v>
      </c>
      <c r="K220" s="38">
        <v>44777.352476851855</v>
      </c>
      <c r="L220" t="s">
        <v>753</v>
      </c>
      <c r="M220" t="s">
        <v>88</v>
      </c>
      <c r="N220">
        <v>44.5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1206</v>
      </c>
      <c r="T220">
        <v>6</v>
      </c>
      <c r="U220" t="s">
        <v>89</v>
      </c>
      <c r="W220" t="s">
        <v>754</v>
      </c>
    </row>
    <row r="221" spans="1:23" outlineLevel="2" x14ac:dyDescent="0.25">
      <c r="A221" t="s">
        <v>82</v>
      </c>
      <c r="B221" t="s">
        <v>83</v>
      </c>
      <c r="C221">
        <v>30</v>
      </c>
      <c r="D221" t="s">
        <v>84</v>
      </c>
      <c r="E221">
        <v>184</v>
      </c>
      <c r="F221" t="s">
        <v>85</v>
      </c>
      <c r="G221">
        <v>8664</v>
      </c>
      <c r="H221" t="s">
        <v>27</v>
      </c>
      <c r="I221">
        <v>1000008664</v>
      </c>
      <c r="J221">
        <v>29453078</v>
      </c>
      <c r="K221" s="38">
        <v>44777.486006944448</v>
      </c>
      <c r="L221" t="s">
        <v>753</v>
      </c>
      <c r="M221" t="s">
        <v>88</v>
      </c>
      <c r="N221">
        <v>179.5</v>
      </c>
      <c r="O221">
        <v>14.22</v>
      </c>
      <c r="P221">
        <v>2.2799999999999998</v>
      </c>
      <c r="Q221">
        <v>4.2561999999999998</v>
      </c>
      <c r="R221">
        <v>0.68100000000000005</v>
      </c>
      <c r="S221" t="s">
        <v>676</v>
      </c>
      <c r="T221">
        <v>6</v>
      </c>
      <c r="U221" t="s">
        <v>89</v>
      </c>
      <c r="W221" t="s">
        <v>754</v>
      </c>
    </row>
    <row r="222" spans="1:23" outlineLevel="2" x14ac:dyDescent="0.25">
      <c r="A222" t="s">
        <v>82</v>
      </c>
      <c r="B222" t="s">
        <v>83</v>
      </c>
      <c r="C222">
        <v>30</v>
      </c>
      <c r="D222" t="s">
        <v>84</v>
      </c>
      <c r="E222">
        <v>184</v>
      </c>
      <c r="F222" t="s">
        <v>85</v>
      </c>
      <c r="G222">
        <v>8664</v>
      </c>
      <c r="H222" t="s">
        <v>27</v>
      </c>
      <c r="I222">
        <v>1000008664</v>
      </c>
      <c r="J222">
        <v>29455173</v>
      </c>
      <c r="K222" s="38">
        <v>44777.565717592595</v>
      </c>
      <c r="L222" t="s">
        <v>752</v>
      </c>
      <c r="M222" t="s">
        <v>88</v>
      </c>
      <c r="N222">
        <v>68.5</v>
      </c>
      <c r="O222">
        <v>14.22</v>
      </c>
      <c r="P222">
        <v>2.2799999999999998</v>
      </c>
      <c r="Q222">
        <v>4.2561999999999998</v>
      </c>
      <c r="R222">
        <v>0.68100000000000005</v>
      </c>
      <c r="S222" t="s">
        <v>1209</v>
      </c>
      <c r="T222">
        <v>6</v>
      </c>
      <c r="U222" t="s">
        <v>89</v>
      </c>
      <c r="W222" t="s">
        <v>754</v>
      </c>
    </row>
    <row r="223" spans="1:23" outlineLevel="2" x14ac:dyDescent="0.25">
      <c r="A223" t="s">
        <v>82</v>
      </c>
      <c r="B223" t="s">
        <v>83</v>
      </c>
      <c r="C223">
        <v>30</v>
      </c>
      <c r="D223" t="s">
        <v>84</v>
      </c>
      <c r="E223">
        <v>184</v>
      </c>
      <c r="F223" t="s">
        <v>85</v>
      </c>
      <c r="G223">
        <v>8664</v>
      </c>
      <c r="H223" t="s">
        <v>27</v>
      </c>
      <c r="I223">
        <v>1000008664</v>
      </c>
      <c r="J223">
        <v>29459020</v>
      </c>
      <c r="K223" s="38">
        <v>44777.715787037036</v>
      </c>
      <c r="L223" t="s">
        <v>752</v>
      </c>
      <c r="M223" t="s">
        <v>88</v>
      </c>
      <c r="N223">
        <v>150.5</v>
      </c>
      <c r="O223">
        <v>14.22</v>
      </c>
      <c r="P223">
        <v>2.2799999999999998</v>
      </c>
      <c r="Q223">
        <v>4.2561999999999998</v>
      </c>
      <c r="R223">
        <v>0.68100000000000005</v>
      </c>
      <c r="S223" t="s">
        <v>1211</v>
      </c>
      <c r="T223">
        <v>6</v>
      </c>
      <c r="U223" t="s">
        <v>89</v>
      </c>
      <c r="W223" t="s">
        <v>754</v>
      </c>
    </row>
    <row r="224" spans="1:23" outlineLevel="2" x14ac:dyDescent="0.25">
      <c r="A224" t="s">
        <v>82</v>
      </c>
      <c r="B224" t="s">
        <v>83</v>
      </c>
      <c r="C224">
        <v>30</v>
      </c>
      <c r="D224" t="s">
        <v>84</v>
      </c>
      <c r="E224">
        <v>184</v>
      </c>
      <c r="F224" t="s">
        <v>85</v>
      </c>
      <c r="G224">
        <v>8664</v>
      </c>
      <c r="H224" t="s">
        <v>27</v>
      </c>
      <c r="I224">
        <v>1000008664</v>
      </c>
      <c r="J224">
        <v>29466532</v>
      </c>
      <c r="K224" s="38">
        <v>44777.864918981482</v>
      </c>
      <c r="L224" t="s">
        <v>752</v>
      </c>
      <c r="M224" t="s">
        <v>88</v>
      </c>
      <c r="N224">
        <v>356.5</v>
      </c>
      <c r="O224">
        <v>14.22</v>
      </c>
      <c r="P224">
        <v>2.2799999999999998</v>
      </c>
      <c r="Q224">
        <v>4.2561999999999998</v>
      </c>
      <c r="R224">
        <v>0.68100000000000005</v>
      </c>
      <c r="S224" t="s">
        <v>1213</v>
      </c>
      <c r="T224">
        <v>6</v>
      </c>
      <c r="U224" t="s">
        <v>89</v>
      </c>
      <c r="W224" t="s">
        <v>754</v>
      </c>
    </row>
    <row r="225" spans="1:23" outlineLevel="2" x14ac:dyDescent="0.25">
      <c r="A225" t="s">
        <v>82</v>
      </c>
      <c r="B225" t="s">
        <v>83</v>
      </c>
      <c r="C225">
        <v>30</v>
      </c>
      <c r="D225" t="s">
        <v>84</v>
      </c>
      <c r="E225">
        <v>184</v>
      </c>
      <c r="F225" t="s">
        <v>85</v>
      </c>
      <c r="G225">
        <v>8666</v>
      </c>
      <c r="H225" t="s">
        <v>28</v>
      </c>
      <c r="I225">
        <v>1000008666</v>
      </c>
      <c r="J225">
        <v>29430583</v>
      </c>
      <c r="K225" s="38">
        <v>44774.620451388888</v>
      </c>
      <c r="L225" t="s">
        <v>752</v>
      </c>
      <c r="M225" t="s">
        <v>88</v>
      </c>
      <c r="N225">
        <v>111.5</v>
      </c>
      <c r="O225">
        <v>14.22</v>
      </c>
      <c r="P225">
        <v>2.2799999999999998</v>
      </c>
      <c r="Q225">
        <v>4.2561999999999998</v>
      </c>
      <c r="R225">
        <v>0.68100000000000005</v>
      </c>
      <c r="S225" t="s">
        <v>1588</v>
      </c>
      <c r="T225">
        <v>6</v>
      </c>
      <c r="U225" t="s">
        <v>89</v>
      </c>
      <c r="W225" t="s">
        <v>754</v>
      </c>
    </row>
    <row r="226" spans="1:23" outlineLevel="2" x14ac:dyDescent="0.25">
      <c r="A226" t="s">
        <v>82</v>
      </c>
      <c r="B226" t="s">
        <v>83</v>
      </c>
      <c r="C226">
        <v>30</v>
      </c>
      <c r="D226" t="s">
        <v>84</v>
      </c>
      <c r="E226">
        <v>184</v>
      </c>
      <c r="F226" t="s">
        <v>85</v>
      </c>
      <c r="G226">
        <v>8666</v>
      </c>
      <c r="H226" t="s">
        <v>28</v>
      </c>
      <c r="I226">
        <v>1000008666</v>
      </c>
      <c r="J226">
        <v>29431104</v>
      </c>
      <c r="K226" s="38">
        <v>44774.671249999999</v>
      </c>
      <c r="L226" t="s">
        <v>752</v>
      </c>
      <c r="M226" t="s">
        <v>88</v>
      </c>
      <c r="N226">
        <v>152.5</v>
      </c>
      <c r="O226">
        <v>14.22</v>
      </c>
      <c r="P226">
        <v>2.2799999999999998</v>
      </c>
      <c r="Q226">
        <v>4.2561999999999998</v>
      </c>
      <c r="R226">
        <v>0.68100000000000005</v>
      </c>
      <c r="S226" t="s">
        <v>1590</v>
      </c>
      <c r="T226">
        <v>6</v>
      </c>
      <c r="U226" t="s">
        <v>89</v>
      </c>
      <c r="W226" t="s">
        <v>754</v>
      </c>
    </row>
    <row r="227" spans="1:23" outlineLevel="2" x14ac:dyDescent="0.25">
      <c r="A227" t="s">
        <v>82</v>
      </c>
      <c r="B227" t="s">
        <v>83</v>
      </c>
      <c r="C227">
        <v>30</v>
      </c>
      <c r="D227" t="s">
        <v>84</v>
      </c>
      <c r="E227">
        <v>184</v>
      </c>
      <c r="F227" t="s">
        <v>85</v>
      </c>
      <c r="G227">
        <v>8666</v>
      </c>
      <c r="H227" t="s">
        <v>28</v>
      </c>
      <c r="I227">
        <v>1000008666</v>
      </c>
      <c r="J227">
        <v>29433600</v>
      </c>
      <c r="K227" s="38">
        <v>44774.881377314814</v>
      </c>
      <c r="L227" t="s">
        <v>752</v>
      </c>
      <c r="M227" t="s">
        <v>88</v>
      </c>
      <c r="N227">
        <v>57.5</v>
      </c>
      <c r="O227">
        <v>14.22</v>
      </c>
      <c r="P227">
        <v>2.2799999999999998</v>
      </c>
      <c r="Q227">
        <v>4.2561999999999998</v>
      </c>
      <c r="R227">
        <v>0.68100000000000005</v>
      </c>
      <c r="S227" t="s">
        <v>1592</v>
      </c>
      <c r="T227">
        <v>6</v>
      </c>
      <c r="U227" t="s">
        <v>89</v>
      </c>
      <c r="W227" t="s">
        <v>754</v>
      </c>
    </row>
    <row r="228" spans="1:23" outlineLevel="2" x14ac:dyDescent="0.25">
      <c r="A228" t="s">
        <v>82</v>
      </c>
      <c r="B228" t="s">
        <v>83</v>
      </c>
      <c r="C228">
        <v>30</v>
      </c>
      <c r="D228" t="s">
        <v>84</v>
      </c>
      <c r="E228">
        <v>184</v>
      </c>
      <c r="F228" t="s">
        <v>85</v>
      </c>
      <c r="G228">
        <v>8666</v>
      </c>
      <c r="H228" t="s">
        <v>28</v>
      </c>
      <c r="I228">
        <v>1000008666</v>
      </c>
      <c r="J228">
        <v>29435116</v>
      </c>
      <c r="K228" s="38">
        <v>44775.452569444446</v>
      </c>
      <c r="L228" t="s">
        <v>752</v>
      </c>
      <c r="M228" t="s">
        <v>88</v>
      </c>
      <c r="N228">
        <v>299.5</v>
      </c>
      <c r="O228">
        <v>14.22</v>
      </c>
      <c r="P228">
        <v>2.2799999999999998</v>
      </c>
      <c r="Q228">
        <v>4.2561999999999998</v>
      </c>
      <c r="R228">
        <v>0.68100000000000005</v>
      </c>
      <c r="S228" t="s">
        <v>806</v>
      </c>
      <c r="T228">
        <v>6</v>
      </c>
      <c r="U228" t="s">
        <v>89</v>
      </c>
      <c r="W228" t="s">
        <v>754</v>
      </c>
    </row>
    <row r="229" spans="1:23" outlineLevel="2" x14ac:dyDescent="0.25">
      <c r="A229" t="s">
        <v>82</v>
      </c>
      <c r="B229" t="s">
        <v>83</v>
      </c>
      <c r="C229">
        <v>30</v>
      </c>
      <c r="D229" t="s">
        <v>84</v>
      </c>
      <c r="E229">
        <v>184</v>
      </c>
      <c r="F229" t="s">
        <v>85</v>
      </c>
      <c r="G229">
        <v>8666</v>
      </c>
      <c r="H229" t="s">
        <v>28</v>
      </c>
      <c r="I229">
        <v>1000008666</v>
      </c>
      <c r="J229">
        <v>29435148</v>
      </c>
      <c r="K229" s="38">
        <v>44775.453958333332</v>
      </c>
      <c r="L229" t="s">
        <v>752</v>
      </c>
      <c r="M229" t="s">
        <v>88</v>
      </c>
      <c r="N229">
        <v>135.5</v>
      </c>
      <c r="O229">
        <v>14.22</v>
      </c>
      <c r="P229">
        <v>2.2799999999999998</v>
      </c>
      <c r="Q229">
        <v>4.2561999999999998</v>
      </c>
      <c r="R229">
        <v>0.68100000000000005</v>
      </c>
      <c r="S229" t="s">
        <v>808</v>
      </c>
      <c r="T229">
        <v>6</v>
      </c>
      <c r="U229" t="s">
        <v>89</v>
      </c>
      <c r="W229" t="s">
        <v>754</v>
      </c>
    </row>
    <row r="230" spans="1:23" outlineLevel="2" x14ac:dyDescent="0.25">
      <c r="A230" t="s">
        <v>82</v>
      </c>
      <c r="B230" t="s">
        <v>83</v>
      </c>
      <c r="C230">
        <v>30</v>
      </c>
      <c r="D230" t="s">
        <v>84</v>
      </c>
      <c r="E230">
        <v>184</v>
      </c>
      <c r="F230" t="s">
        <v>85</v>
      </c>
      <c r="G230">
        <v>8666</v>
      </c>
      <c r="H230" t="s">
        <v>28</v>
      </c>
      <c r="I230">
        <v>1000008666</v>
      </c>
      <c r="J230">
        <v>29444945</v>
      </c>
      <c r="K230" s="38">
        <v>44776.622824074075</v>
      </c>
      <c r="L230" t="s">
        <v>752</v>
      </c>
      <c r="M230" t="s">
        <v>88</v>
      </c>
      <c r="N230">
        <v>45.5</v>
      </c>
      <c r="O230">
        <v>14.22</v>
      </c>
      <c r="P230">
        <v>2.2799999999999998</v>
      </c>
      <c r="Q230">
        <v>4.2561999999999998</v>
      </c>
      <c r="R230">
        <v>0.68100000000000005</v>
      </c>
      <c r="S230" t="s">
        <v>1418</v>
      </c>
      <c r="T230">
        <v>6</v>
      </c>
      <c r="U230" t="s">
        <v>89</v>
      </c>
      <c r="W230" t="s">
        <v>754</v>
      </c>
    </row>
    <row r="231" spans="1:23" outlineLevel="2" x14ac:dyDescent="0.25">
      <c r="A231" t="s">
        <v>82</v>
      </c>
      <c r="B231" t="s">
        <v>83</v>
      </c>
      <c r="C231">
        <v>30</v>
      </c>
      <c r="D231" t="s">
        <v>84</v>
      </c>
      <c r="E231">
        <v>184</v>
      </c>
      <c r="F231" t="s">
        <v>85</v>
      </c>
      <c r="G231">
        <v>8666</v>
      </c>
      <c r="H231" t="s">
        <v>28</v>
      </c>
      <c r="I231">
        <v>1000008666</v>
      </c>
      <c r="J231">
        <v>29447881</v>
      </c>
      <c r="K231" s="38">
        <v>44776.809513888889</v>
      </c>
      <c r="L231" t="s">
        <v>752</v>
      </c>
      <c r="M231" t="s">
        <v>88</v>
      </c>
      <c r="N231">
        <v>142.5</v>
      </c>
      <c r="O231">
        <v>14.22</v>
      </c>
      <c r="P231">
        <v>2.2799999999999998</v>
      </c>
      <c r="Q231">
        <v>4.2561999999999998</v>
      </c>
      <c r="R231">
        <v>0.68100000000000005</v>
      </c>
      <c r="S231" t="s">
        <v>1420</v>
      </c>
      <c r="T231">
        <v>6</v>
      </c>
      <c r="U231" t="s">
        <v>89</v>
      </c>
      <c r="W231" t="s">
        <v>754</v>
      </c>
    </row>
    <row r="232" spans="1:23" outlineLevel="2" x14ac:dyDescent="0.25">
      <c r="A232" s="8" t="s">
        <v>82</v>
      </c>
      <c r="B232" s="8" t="s">
        <v>83</v>
      </c>
      <c r="C232" s="8">
        <v>30</v>
      </c>
      <c r="D232" s="8" t="s">
        <v>84</v>
      </c>
      <c r="E232" s="8">
        <v>184</v>
      </c>
      <c r="F232" s="8" t="s">
        <v>85</v>
      </c>
      <c r="G232" s="8">
        <v>8666</v>
      </c>
      <c r="H232" s="8" t="s">
        <v>28</v>
      </c>
      <c r="I232" s="8">
        <v>1000008666</v>
      </c>
      <c r="J232" s="8">
        <v>29449320</v>
      </c>
      <c r="K232" s="39">
        <v>44776.882719907408</v>
      </c>
      <c r="L232" s="8" t="s">
        <v>752</v>
      </c>
      <c r="M232" s="8" t="s">
        <v>88</v>
      </c>
      <c r="N232" s="8">
        <v>100.5</v>
      </c>
      <c r="O232" s="8">
        <v>14.22</v>
      </c>
      <c r="P232" s="8">
        <v>2.2799999999999998</v>
      </c>
      <c r="Q232" s="8">
        <v>4.2561999999999998</v>
      </c>
      <c r="R232" s="8">
        <v>0.68100000000000005</v>
      </c>
      <c r="S232" s="8" t="s">
        <v>1458</v>
      </c>
      <c r="T232" s="8">
        <v>6</v>
      </c>
      <c r="U232" s="8" t="s">
        <v>89</v>
      </c>
      <c r="V232" s="8"/>
      <c r="W232" t="s">
        <v>754</v>
      </c>
    </row>
    <row r="233" spans="1:23" outlineLevel="2" x14ac:dyDescent="0.25">
      <c r="A233" t="s">
        <v>82</v>
      </c>
      <c r="B233" t="s">
        <v>83</v>
      </c>
      <c r="C233">
        <v>30</v>
      </c>
      <c r="D233" t="s">
        <v>84</v>
      </c>
      <c r="E233">
        <v>184</v>
      </c>
      <c r="F233" t="s">
        <v>85</v>
      </c>
      <c r="G233">
        <v>8666</v>
      </c>
      <c r="H233" t="s">
        <v>28</v>
      </c>
      <c r="I233">
        <v>1000008666</v>
      </c>
      <c r="J233">
        <v>29462185</v>
      </c>
      <c r="K233" s="38">
        <v>44777.792743055557</v>
      </c>
      <c r="L233" t="s">
        <v>752</v>
      </c>
      <c r="M233" t="s">
        <v>88</v>
      </c>
      <c r="N233">
        <v>82.5</v>
      </c>
      <c r="O233">
        <v>14.22</v>
      </c>
      <c r="P233">
        <v>2.2799999999999998</v>
      </c>
      <c r="Q233">
        <v>4.2561999999999998</v>
      </c>
      <c r="R233">
        <v>0.68100000000000005</v>
      </c>
      <c r="S233" t="s">
        <v>1215</v>
      </c>
      <c r="T233">
        <v>6</v>
      </c>
      <c r="U233" t="s">
        <v>89</v>
      </c>
      <c r="W233" t="s">
        <v>754</v>
      </c>
    </row>
    <row r="234" spans="1:23" outlineLevel="2" x14ac:dyDescent="0.25">
      <c r="A234" t="s">
        <v>82</v>
      </c>
      <c r="B234" t="s">
        <v>83</v>
      </c>
      <c r="C234">
        <v>30</v>
      </c>
      <c r="D234" t="s">
        <v>84</v>
      </c>
      <c r="E234">
        <v>184</v>
      </c>
      <c r="F234" t="s">
        <v>85</v>
      </c>
      <c r="G234">
        <v>8669</v>
      </c>
      <c r="H234" t="s">
        <v>48</v>
      </c>
      <c r="I234">
        <v>1000008669</v>
      </c>
      <c r="J234">
        <v>29457666</v>
      </c>
      <c r="K234" s="38">
        <v>44777.666319444441</v>
      </c>
      <c r="L234" t="s">
        <v>752</v>
      </c>
      <c r="M234" t="s">
        <v>88</v>
      </c>
      <c r="N234">
        <v>81.5</v>
      </c>
      <c r="O234">
        <v>14.22</v>
      </c>
      <c r="P234">
        <v>2.2799999999999998</v>
      </c>
      <c r="Q234">
        <v>4.2561999999999998</v>
      </c>
      <c r="R234">
        <v>0.68100000000000005</v>
      </c>
      <c r="S234" t="s">
        <v>1217</v>
      </c>
      <c r="T234">
        <v>6</v>
      </c>
      <c r="U234" t="s">
        <v>89</v>
      </c>
      <c r="W234" t="s">
        <v>754</v>
      </c>
    </row>
    <row r="235" spans="1:23" outlineLevel="2" x14ac:dyDescent="0.25">
      <c r="A235" s="7" t="s">
        <v>82</v>
      </c>
      <c r="B235" s="7" t="s">
        <v>83</v>
      </c>
      <c r="C235" s="7">
        <v>30</v>
      </c>
      <c r="D235" s="7" t="s">
        <v>84</v>
      </c>
      <c r="E235" s="7">
        <v>184</v>
      </c>
      <c r="F235" s="7" t="s">
        <v>85</v>
      </c>
      <c r="G235" s="7">
        <v>8669</v>
      </c>
      <c r="H235" s="7" t="s">
        <v>48</v>
      </c>
      <c r="I235" s="7">
        <v>1000008669</v>
      </c>
      <c r="J235" s="7">
        <v>29468713</v>
      </c>
      <c r="K235" s="40">
        <v>44777.915706018517</v>
      </c>
      <c r="L235" s="7" t="s">
        <v>752</v>
      </c>
      <c r="M235" s="7" t="s">
        <v>88</v>
      </c>
      <c r="N235" s="7">
        <v>57.5</v>
      </c>
      <c r="O235" s="7">
        <v>14.22</v>
      </c>
      <c r="P235" s="7">
        <v>2.2799999999999998</v>
      </c>
      <c r="Q235" s="7">
        <v>4.2561999999999998</v>
      </c>
      <c r="R235" s="7">
        <v>0.68100000000000005</v>
      </c>
      <c r="S235" s="7" t="s">
        <v>1256</v>
      </c>
      <c r="T235" s="7">
        <v>6</v>
      </c>
      <c r="U235" s="7" t="s">
        <v>89</v>
      </c>
    </row>
    <row r="236" spans="1:23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8673</v>
      </c>
      <c r="H236" t="s">
        <v>51</v>
      </c>
      <c r="I236">
        <v>1000008673</v>
      </c>
      <c r="J236">
        <v>29429686</v>
      </c>
      <c r="K236" s="38">
        <v>44774.550069444442</v>
      </c>
      <c r="L236" t="s">
        <v>752</v>
      </c>
      <c r="M236" t="s">
        <v>88</v>
      </c>
      <c r="N236">
        <v>74.5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1594</v>
      </c>
      <c r="T236">
        <v>6</v>
      </c>
      <c r="U236" t="s">
        <v>89</v>
      </c>
      <c r="W236" t="s">
        <v>754</v>
      </c>
    </row>
    <row r="237" spans="1:23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8673</v>
      </c>
      <c r="H237" t="s">
        <v>51</v>
      </c>
      <c r="I237">
        <v>1000008673</v>
      </c>
      <c r="J237">
        <v>29432426</v>
      </c>
      <c r="K237" s="38">
        <v>44774.788263888891</v>
      </c>
      <c r="L237" t="s">
        <v>753</v>
      </c>
      <c r="M237" t="s">
        <v>88</v>
      </c>
      <c r="N237">
        <v>102.5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604</v>
      </c>
      <c r="T237">
        <v>6</v>
      </c>
      <c r="U237" t="s">
        <v>89</v>
      </c>
      <c r="W237" t="s">
        <v>754</v>
      </c>
    </row>
    <row r="238" spans="1:23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8673</v>
      </c>
      <c r="H238" t="s">
        <v>51</v>
      </c>
      <c r="I238">
        <v>1000008673</v>
      </c>
      <c r="J238">
        <v>29441005</v>
      </c>
      <c r="K238" s="38">
        <v>44776.310428240744</v>
      </c>
      <c r="L238" t="s">
        <v>752</v>
      </c>
      <c r="M238" t="s">
        <v>88</v>
      </c>
      <c r="N238">
        <v>44.5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1422</v>
      </c>
      <c r="T238">
        <v>6</v>
      </c>
      <c r="U238" t="s">
        <v>89</v>
      </c>
      <c r="W238" t="s">
        <v>754</v>
      </c>
    </row>
    <row r="239" spans="1:23" outlineLevel="2" x14ac:dyDescent="0.25">
      <c r="A239" t="s">
        <v>82</v>
      </c>
      <c r="B239" t="s">
        <v>83</v>
      </c>
      <c r="C239">
        <v>30</v>
      </c>
      <c r="D239" t="s">
        <v>84</v>
      </c>
      <c r="E239">
        <v>184</v>
      </c>
      <c r="F239" t="s">
        <v>85</v>
      </c>
      <c r="G239">
        <v>8673</v>
      </c>
      <c r="H239" t="s">
        <v>51</v>
      </c>
      <c r="I239">
        <v>1000008673</v>
      </c>
      <c r="J239">
        <v>29441988</v>
      </c>
      <c r="K239" s="38">
        <v>44776.429513888892</v>
      </c>
      <c r="L239" t="s">
        <v>752</v>
      </c>
      <c r="M239" t="s">
        <v>88</v>
      </c>
      <c r="N239">
        <v>94.5</v>
      </c>
      <c r="O239">
        <v>14.22</v>
      </c>
      <c r="P239">
        <v>2.2799999999999998</v>
      </c>
      <c r="Q239">
        <v>4.2561999999999998</v>
      </c>
      <c r="R239">
        <v>0.68100000000000005</v>
      </c>
      <c r="S239" t="s">
        <v>1424</v>
      </c>
      <c r="T239">
        <v>6</v>
      </c>
      <c r="U239" t="s">
        <v>89</v>
      </c>
      <c r="W239" t="s">
        <v>754</v>
      </c>
    </row>
    <row r="240" spans="1:23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8673</v>
      </c>
      <c r="H240" t="s">
        <v>51</v>
      </c>
      <c r="I240">
        <v>1000008673</v>
      </c>
      <c r="J240">
        <v>29462212</v>
      </c>
      <c r="K240" s="38">
        <v>44777.793206018519</v>
      </c>
      <c r="L240" t="s">
        <v>752</v>
      </c>
      <c r="M240" t="s">
        <v>88</v>
      </c>
      <c r="N240">
        <v>85.5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1219</v>
      </c>
      <c r="T240">
        <v>6</v>
      </c>
      <c r="U240" t="s">
        <v>89</v>
      </c>
      <c r="W240" t="s">
        <v>754</v>
      </c>
    </row>
    <row r="241" spans="1:23" outlineLevel="2" x14ac:dyDescent="0.25">
      <c r="A241" t="s">
        <v>82</v>
      </c>
      <c r="B241" t="s">
        <v>83</v>
      </c>
      <c r="C241">
        <v>30</v>
      </c>
      <c r="D241" t="s">
        <v>84</v>
      </c>
      <c r="E241">
        <v>184</v>
      </c>
      <c r="F241" t="s">
        <v>85</v>
      </c>
      <c r="G241">
        <v>8673</v>
      </c>
      <c r="H241" t="s">
        <v>51</v>
      </c>
      <c r="I241">
        <v>1000008673</v>
      </c>
      <c r="J241">
        <v>29466401</v>
      </c>
      <c r="K241" s="38">
        <v>44777.862395833334</v>
      </c>
      <c r="L241" t="s">
        <v>752</v>
      </c>
      <c r="M241" t="s">
        <v>88</v>
      </c>
      <c r="N241">
        <v>86.5</v>
      </c>
      <c r="O241">
        <v>14.22</v>
      </c>
      <c r="P241">
        <v>2.2799999999999998</v>
      </c>
      <c r="Q241">
        <v>4.2561999999999998</v>
      </c>
      <c r="R241">
        <v>0.68100000000000005</v>
      </c>
      <c r="S241" t="s">
        <v>1221</v>
      </c>
      <c r="T241">
        <v>6</v>
      </c>
      <c r="U241" t="s">
        <v>89</v>
      </c>
      <c r="W241" t="s">
        <v>754</v>
      </c>
    </row>
    <row r="242" spans="1:23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8676</v>
      </c>
      <c r="H242" t="s">
        <v>54</v>
      </c>
      <c r="I242">
        <v>1000008676</v>
      </c>
      <c r="J242">
        <v>29434590</v>
      </c>
      <c r="K242" s="38">
        <v>44775.413506944446</v>
      </c>
      <c r="L242" t="s">
        <v>752</v>
      </c>
      <c r="M242" t="s">
        <v>88</v>
      </c>
      <c r="N242">
        <v>147.5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810</v>
      </c>
      <c r="T242">
        <v>6</v>
      </c>
      <c r="U242" t="s">
        <v>89</v>
      </c>
      <c r="W242" t="s">
        <v>754</v>
      </c>
    </row>
    <row r="243" spans="1:23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8676</v>
      </c>
      <c r="H243" t="s">
        <v>54</v>
      </c>
      <c r="I243">
        <v>1000008676</v>
      </c>
      <c r="J243">
        <v>29435860</v>
      </c>
      <c r="K243" s="38">
        <v>44775.50037037037</v>
      </c>
      <c r="L243" t="s">
        <v>752</v>
      </c>
      <c r="M243" t="s">
        <v>88</v>
      </c>
      <c r="N243">
        <v>106.5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660</v>
      </c>
      <c r="T243">
        <v>6</v>
      </c>
      <c r="U243" t="s">
        <v>89</v>
      </c>
      <c r="W243" t="s">
        <v>754</v>
      </c>
    </row>
    <row r="244" spans="1:23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8676</v>
      </c>
      <c r="H244" t="s">
        <v>54</v>
      </c>
      <c r="I244">
        <v>1000008676</v>
      </c>
      <c r="J244">
        <v>29448858</v>
      </c>
      <c r="K244" s="38">
        <v>44776.855011574073</v>
      </c>
      <c r="L244" t="s">
        <v>752</v>
      </c>
      <c r="M244" t="s">
        <v>88</v>
      </c>
      <c r="N244">
        <v>98.5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1426</v>
      </c>
      <c r="T244">
        <v>6</v>
      </c>
      <c r="U244" t="s">
        <v>89</v>
      </c>
    </row>
    <row r="245" spans="1:23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8676</v>
      </c>
      <c r="H245" t="s">
        <v>54</v>
      </c>
      <c r="I245">
        <v>1000008676</v>
      </c>
      <c r="J245">
        <v>29459069</v>
      </c>
      <c r="K245" s="38">
        <v>44777.717604166668</v>
      </c>
      <c r="L245" t="s">
        <v>752</v>
      </c>
      <c r="M245" t="s">
        <v>88</v>
      </c>
      <c r="N245">
        <v>367.5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504</v>
      </c>
      <c r="T245">
        <v>6</v>
      </c>
      <c r="U245" t="s">
        <v>89</v>
      </c>
      <c r="W245" t="s">
        <v>754</v>
      </c>
    </row>
    <row r="246" spans="1:23" outlineLevel="2" x14ac:dyDescent="0.25">
      <c r="A246" t="s">
        <v>82</v>
      </c>
      <c r="B246" t="s">
        <v>83</v>
      </c>
      <c r="C246">
        <v>30</v>
      </c>
      <c r="D246" t="s">
        <v>84</v>
      </c>
      <c r="E246">
        <v>184</v>
      </c>
      <c r="F246" t="s">
        <v>85</v>
      </c>
      <c r="G246">
        <v>8676</v>
      </c>
      <c r="H246" t="s">
        <v>54</v>
      </c>
      <c r="I246">
        <v>1000008676</v>
      </c>
      <c r="J246">
        <v>29467780</v>
      </c>
      <c r="K246" s="38">
        <v>44777.88989583333</v>
      </c>
      <c r="L246" t="s">
        <v>752</v>
      </c>
      <c r="M246" t="s">
        <v>88</v>
      </c>
      <c r="N246">
        <v>106.5</v>
      </c>
      <c r="O246">
        <v>14.22</v>
      </c>
      <c r="P246">
        <v>2.2799999999999998</v>
      </c>
      <c r="Q246">
        <v>4.2561999999999998</v>
      </c>
      <c r="R246">
        <v>0.68100000000000005</v>
      </c>
      <c r="S246" t="s">
        <v>1224</v>
      </c>
      <c r="T246">
        <v>6</v>
      </c>
      <c r="U246" t="s">
        <v>89</v>
      </c>
      <c r="W246" t="s">
        <v>754</v>
      </c>
    </row>
    <row r="247" spans="1:23" outlineLevel="2" x14ac:dyDescent="0.25">
      <c r="A247" t="s">
        <v>82</v>
      </c>
      <c r="B247" t="s">
        <v>83</v>
      </c>
      <c r="C247">
        <v>30</v>
      </c>
      <c r="D247" t="s">
        <v>84</v>
      </c>
      <c r="E247">
        <v>184</v>
      </c>
      <c r="F247" t="s">
        <v>85</v>
      </c>
      <c r="G247">
        <v>8676</v>
      </c>
      <c r="H247" t="s">
        <v>54</v>
      </c>
      <c r="I247">
        <v>1000008676</v>
      </c>
      <c r="J247">
        <v>29467943</v>
      </c>
      <c r="K247" s="38">
        <v>44777.893958333334</v>
      </c>
      <c r="L247" t="s">
        <v>752</v>
      </c>
      <c r="M247" t="s">
        <v>88</v>
      </c>
      <c r="N247">
        <v>187.5</v>
      </c>
      <c r="O247">
        <v>14.22</v>
      </c>
      <c r="P247">
        <v>2.2799999999999998</v>
      </c>
      <c r="Q247">
        <v>4.2561999999999998</v>
      </c>
      <c r="R247">
        <v>0.68100000000000005</v>
      </c>
      <c r="S247" t="s">
        <v>1226</v>
      </c>
      <c r="T247">
        <v>6</v>
      </c>
      <c r="U247" t="s">
        <v>89</v>
      </c>
      <c r="W247" t="s">
        <v>754</v>
      </c>
    </row>
    <row r="248" spans="1:23" outlineLevel="2" x14ac:dyDescent="0.25">
      <c r="A248" t="s">
        <v>82</v>
      </c>
      <c r="B248" t="s">
        <v>83</v>
      </c>
      <c r="C248">
        <v>30</v>
      </c>
      <c r="D248" t="s">
        <v>84</v>
      </c>
      <c r="E248">
        <v>184</v>
      </c>
      <c r="F248" t="s">
        <v>85</v>
      </c>
      <c r="G248">
        <v>9566</v>
      </c>
      <c r="H248" t="s">
        <v>55</v>
      </c>
      <c r="I248">
        <v>1000009566</v>
      </c>
      <c r="J248">
        <v>29429212</v>
      </c>
      <c r="K248" s="38">
        <v>44774.520312499997</v>
      </c>
      <c r="L248" t="s">
        <v>752</v>
      </c>
      <c r="M248" t="s">
        <v>88</v>
      </c>
      <c r="N248">
        <v>163.5</v>
      </c>
      <c r="O248">
        <v>14.22</v>
      </c>
      <c r="P248">
        <v>2.2799999999999998</v>
      </c>
      <c r="Q248">
        <v>4.2561999999999998</v>
      </c>
      <c r="R248">
        <v>0.68100000000000005</v>
      </c>
      <c r="S248" t="s">
        <v>1597</v>
      </c>
      <c r="T248">
        <v>6</v>
      </c>
      <c r="U248" t="s">
        <v>89</v>
      </c>
      <c r="W248" t="s">
        <v>754</v>
      </c>
    </row>
    <row r="249" spans="1:23" outlineLevel="2" x14ac:dyDescent="0.25">
      <c r="A249" s="8" t="s">
        <v>82</v>
      </c>
      <c r="B249" s="8" t="s">
        <v>83</v>
      </c>
      <c r="C249" s="8">
        <v>30</v>
      </c>
      <c r="D249" s="8" t="s">
        <v>84</v>
      </c>
      <c r="E249" s="8">
        <v>184</v>
      </c>
      <c r="F249" s="8" t="s">
        <v>85</v>
      </c>
      <c r="G249" s="8">
        <v>9566</v>
      </c>
      <c r="H249" s="8" t="s">
        <v>55</v>
      </c>
      <c r="I249" s="8">
        <v>1000009566</v>
      </c>
      <c r="J249" s="8">
        <v>29429311</v>
      </c>
      <c r="K249" s="39">
        <v>44774.526134259257</v>
      </c>
      <c r="L249" s="8" t="s">
        <v>752</v>
      </c>
      <c r="M249" s="8" t="s">
        <v>88</v>
      </c>
      <c r="N249" s="8">
        <v>45.5</v>
      </c>
      <c r="O249" s="8">
        <v>14.22</v>
      </c>
      <c r="P249" s="8">
        <v>2.2799999999999998</v>
      </c>
      <c r="Q249" s="8">
        <v>4.2561999999999998</v>
      </c>
      <c r="R249" s="8">
        <v>0.68100000000000005</v>
      </c>
      <c r="S249" s="8" t="s">
        <v>516</v>
      </c>
      <c r="T249" s="8">
        <v>6</v>
      </c>
      <c r="U249" s="8" t="s">
        <v>89</v>
      </c>
      <c r="V249" s="8"/>
      <c r="W249" t="s">
        <v>754</v>
      </c>
    </row>
    <row r="250" spans="1:23" outlineLevel="2" x14ac:dyDescent="0.25">
      <c r="A250" t="s">
        <v>82</v>
      </c>
      <c r="B250" t="s">
        <v>83</v>
      </c>
      <c r="C250">
        <v>30</v>
      </c>
      <c r="D250" t="s">
        <v>84</v>
      </c>
      <c r="E250">
        <v>184</v>
      </c>
      <c r="F250" t="s">
        <v>85</v>
      </c>
      <c r="G250">
        <v>9566</v>
      </c>
      <c r="H250" t="s">
        <v>55</v>
      </c>
      <c r="I250">
        <v>1000009566</v>
      </c>
      <c r="J250">
        <v>29430845</v>
      </c>
      <c r="K250" s="38">
        <v>44774.645277777781</v>
      </c>
      <c r="L250" t="s">
        <v>753</v>
      </c>
      <c r="M250" t="s">
        <v>88</v>
      </c>
      <c r="N250">
        <v>79.5</v>
      </c>
      <c r="O250">
        <v>14.22</v>
      </c>
      <c r="P250">
        <v>2.2799999999999998</v>
      </c>
      <c r="Q250">
        <v>4.2561999999999998</v>
      </c>
      <c r="R250">
        <v>0.68100000000000005</v>
      </c>
      <c r="S250" t="s">
        <v>1599</v>
      </c>
      <c r="T250">
        <v>6</v>
      </c>
      <c r="U250" t="s">
        <v>89</v>
      </c>
      <c r="W250" t="s">
        <v>754</v>
      </c>
    </row>
    <row r="251" spans="1:23" outlineLevel="2" x14ac:dyDescent="0.25">
      <c r="A251" t="s">
        <v>82</v>
      </c>
      <c r="B251" t="s">
        <v>83</v>
      </c>
      <c r="C251">
        <v>30</v>
      </c>
      <c r="D251" t="s">
        <v>84</v>
      </c>
      <c r="E251">
        <v>184</v>
      </c>
      <c r="F251" t="s">
        <v>85</v>
      </c>
      <c r="G251">
        <v>9566</v>
      </c>
      <c r="H251" t="s">
        <v>55</v>
      </c>
      <c r="I251">
        <v>1000009566</v>
      </c>
      <c r="J251">
        <v>29432543</v>
      </c>
      <c r="K251" s="38">
        <v>44774.796793981484</v>
      </c>
      <c r="L251" t="s">
        <v>752</v>
      </c>
      <c r="M251" t="s">
        <v>88</v>
      </c>
      <c r="N251">
        <v>99.5</v>
      </c>
      <c r="O251">
        <v>14.22</v>
      </c>
      <c r="P251">
        <v>2.2799999999999998</v>
      </c>
      <c r="Q251">
        <v>4.2561999999999998</v>
      </c>
      <c r="R251">
        <v>0.68100000000000005</v>
      </c>
      <c r="S251" t="s">
        <v>1601</v>
      </c>
      <c r="T251">
        <v>6</v>
      </c>
      <c r="U251" t="s">
        <v>89</v>
      </c>
      <c r="W251" t="s">
        <v>754</v>
      </c>
    </row>
    <row r="252" spans="1:23" outlineLevel="2" x14ac:dyDescent="0.25">
      <c r="A252" t="s">
        <v>82</v>
      </c>
      <c r="B252" t="s">
        <v>83</v>
      </c>
      <c r="C252">
        <v>30</v>
      </c>
      <c r="D252" t="s">
        <v>84</v>
      </c>
      <c r="E252">
        <v>184</v>
      </c>
      <c r="F252" t="s">
        <v>85</v>
      </c>
      <c r="G252">
        <v>9566</v>
      </c>
      <c r="H252" t="s">
        <v>55</v>
      </c>
      <c r="I252">
        <v>1000009566</v>
      </c>
      <c r="J252">
        <v>29433219</v>
      </c>
      <c r="K252" s="38">
        <v>44774.848530092589</v>
      </c>
      <c r="L252" t="s">
        <v>752</v>
      </c>
      <c r="M252" t="s">
        <v>88</v>
      </c>
      <c r="N252">
        <v>143.5</v>
      </c>
      <c r="O252">
        <v>14.22</v>
      </c>
      <c r="P252">
        <v>2.2799999999999998</v>
      </c>
      <c r="Q252">
        <v>4.2561999999999998</v>
      </c>
      <c r="R252">
        <v>0.68100000000000005</v>
      </c>
      <c r="S252" t="s">
        <v>450</v>
      </c>
      <c r="T252">
        <v>6</v>
      </c>
      <c r="U252" t="s">
        <v>89</v>
      </c>
      <c r="W252" t="s">
        <v>754</v>
      </c>
    </row>
    <row r="253" spans="1:23" outlineLevel="2" x14ac:dyDescent="0.25">
      <c r="A253" s="8" t="s">
        <v>82</v>
      </c>
      <c r="B253" s="8" t="s">
        <v>83</v>
      </c>
      <c r="C253" s="8">
        <v>30</v>
      </c>
      <c r="D253" s="8" t="s">
        <v>84</v>
      </c>
      <c r="E253" s="8">
        <v>184</v>
      </c>
      <c r="F253" s="8" t="s">
        <v>85</v>
      </c>
      <c r="G253" s="8">
        <v>9566</v>
      </c>
      <c r="H253" s="8" t="s">
        <v>55</v>
      </c>
      <c r="I253" s="8">
        <v>1000009566</v>
      </c>
      <c r="J253" s="8">
        <v>29437390</v>
      </c>
      <c r="K253" s="39">
        <v>44775.617650462962</v>
      </c>
      <c r="L253" s="8" t="s">
        <v>752</v>
      </c>
      <c r="M253" s="8" t="s">
        <v>88</v>
      </c>
      <c r="N253" s="8">
        <v>117.5</v>
      </c>
      <c r="O253" s="8">
        <v>14.22</v>
      </c>
      <c r="P253" s="8">
        <v>2.2799999999999998</v>
      </c>
      <c r="Q253" s="8">
        <v>4.2561999999999998</v>
      </c>
      <c r="R253" s="8">
        <v>0.68100000000000005</v>
      </c>
      <c r="S253" s="8" t="s">
        <v>819</v>
      </c>
      <c r="T253" s="8">
        <v>6</v>
      </c>
      <c r="U253" s="8" t="s">
        <v>89</v>
      </c>
      <c r="V253" s="8"/>
      <c r="W253" t="s">
        <v>754</v>
      </c>
    </row>
    <row r="254" spans="1:23" outlineLevel="2" x14ac:dyDescent="0.25">
      <c r="A254" t="s">
        <v>82</v>
      </c>
      <c r="B254" t="s">
        <v>83</v>
      </c>
      <c r="C254">
        <v>30</v>
      </c>
      <c r="D254" t="s">
        <v>84</v>
      </c>
      <c r="E254">
        <v>184</v>
      </c>
      <c r="F254" t="s">
        <v>85</v>
      </c>
      <c r="G254">
        <v>9566</v>
      </c>
      <c r="H254" t="s">
        <v>55</v>
      </c>
      <c r="I254">
        <v>1000009566</v>
      </c>
      <c r="J254">
        <v>29437644</v>
      </c>
      <c r="K254" s="38">
        <v>44775.642175925925</v>
      </c>
      <c r="L254" t="s">
        <v>753</v>
      </c>
      <c r="M254" t="s">
        <v>88</v>
      </c>
      <c r="N254">
        <v>628.5</v>
      </c>
      <c r="O254">
        <v>14.22</v>
      </c>
      <c r="P254">
        <v>2.2799999999999998</v>
      </c>
      <c r="Q254">
        <v>4.2561999999999998</v>
      </c>
      <c r="R254">
        <v>0.68100000000000005</v>
      </c>
      <c r="S254" t="s">
        <v>813</v>
      </c>
      <c r="T254">
        <v>6</v>
      </c>
      <c r="U254" t="s">
        <v>89</v>
      </c>
      <c r="W254" t="s">
        <v>754</v>
      </c>
    </row>
    <row r="255" spans="1:23" outlineLevel="2" x14ac:dyDescent="0.25">
      <c r="A255" t="s">
        <v>82</v>
      </c>
      <c r="B255" t="s">
        <v>83</v>
      </c>
      <c r="C255">
        <v>30</v>
      </c>
      <c r="D255" t="s">
        <v>84</v>
      </c>
      <c r="E255">
        <v>184</v>
      </c>
      <c r="F255" t="s">
        <v>85</v>
      </c>
      <c r="G255">
        <v>9566</v>
      </c>
      <c r="H255" t="s">
        <v>55</v>
      </c>
      <c r="I255">
        <v>1000009566</v>
      </c>
      <c r="J255">
        <v>29439389</v>
      </c>
      <c r="K255" s="38">
        <v>44775.790891203702</v>
      </c>
      <c r="L255" t="s">
        <v>752</v>
      </c>
      <c r="M255" t="s">
        <v>88</v>
      </c>
      <c r="N255">
        <v>58.5</v>
      </c>
      <c r="O255">
        <v>14.22</v>
      </c>
      <c r="P255">
        <v>2.2799999999999998</v>
      </c>
      <c r="Q255">
        <v>4.2561999999999998</v>
      </c>
      <c r="R255">
        <v>0.68100000000000005</v>
      </c>
      <c r="S255" t="s">
        <v>451</v>
      </c>
      <c r="T255">
        <v>6</v>
      </c>
      <c r="U255" t="s">
        <v>89</v>
      </c>
      <c r="W255" t="s">
        <v>754</v>
      </c>
    </row>
    <row r="256" spans="1:23" outlineLevel="2" x14ac:dyDescent="0.25">
      <c r="A256" t="s">
        <v>82</v>
      </c>
      <c r="B256" t="s">
        <v>83</v>
      </c>
      <c r="C256">
        <v>30</v>
      </c>
      <c r="D256" t="s">
        <v>84</v>
      </c>
      <c r="E256">
        <v>184</v>
      </c>
      <c r="F256" t="s">
        <v>85</v>
      </c>
      <c r="G256">
        <v>9566</v>
      </c>
      <c r="H256" t="s">
        <v>55</v>
      </c>
      <c r="I256">
        <v>1000009566</v>
      </c>
      <c r="J256">
        <v>29441051</v>
      </c>
      <c r="K256" s="38">
        <v>44776.32739583333</v>
      </c>
      <c r="L256" t="s">
        <v>752</v>
      </c>
      <c r="M256" t="s">
        <v>88</v>
      </c>
      <c r="N256">
        <v>116.5</v>
      </c>
      <c r="O256">
        <v>14.22</v>
      </c>
      <c r="P256">
        <v>2.2799999999999998</v>
      </c>
      <c r="Q256">
        <v>4.2561999999999998</v>
      </c>
      <c r="R256">
        <v>0.68100000000000005</v>
      </c>
      <c r="S256" t="s">
        <v>1428</v>
      </c>
      <c r="T256">
        <v>6</v>
      </c>
      <c r="U256" t="s">
        <v>89</v>
      </c>
      <c r="W256" t="s">
        <v>754</v>
      </c>
    </row>
    <row r="257" spans="1:23" outlineLevel="2" x14ac:dyDescent="0.25">
      <c r="A257" t="s">
        <v>82</v>
      </c>
      <c r="B257" t="s">
        <v>83</v>
      </c>
      <c r="C257">
        <v>30</v>
      </c>
      <c r="D257" t="s">
        <v>84</v>
      </c>
      <c r="E257">
        <v>184</v>
      </c>
      <c r="F257" t="s">
        <v>85</v>
      </c>
      <c r="G257">
        <v>9566</v>
      </c>
      <c r="H257" t="s">
        <v>55</v>
      </c>
      <c r="I257">
        <v>1000009566</v>
      </c>
      <c r="J257">
        <v>29441073</v>
      </c>
      <c r="K257" s="38">
        <v>44776.336064814815</v>
      </c>
      <c r="L257" t="s">
        <v>752</v>
      </c>
      <c r="M257" t="s">
        <v>88</v>
      </c>
      <c r="N257">
        <v>156.5</v>
      </c>
      <c r="O257">
        <v>14.22</v>
      </c>
      <c r="P257">
        <v>2.2799999999999998</v>
      </c>
      <c r="Q257">
        <v>4.2561999999999998</v>
      </c>
      <c r="R257">
        <v>0.68100000000000005</v>
      </c>
      <c r="S257" t="s">
        <v>1430</v>
      </c>
      <c r="T257">
        <v>6</v>
      </c>
      <c r="U257" t="s">
        <v>89</v>
      </c>
      <c r="W257" t="s">
        <v>754</v>
      </c>
    </row>
    <row r="258" spans="1:23" outlineLevel="2" x14ac:dyDescent="0.25">
      <c r="A258" t="s">
        <v>82</v>
      </c>
      <c r="B258" t="s">
        <v>83</v>
      </c>
      <c r="C258">
        <v>30</v>
      </c>
      <c r="D258" t="s">
        <v>84</v>
      </c>
      <c r="E258">
        <v>184</v>
      </c>
      <c r="F258" t="s">
        <v>85</v>
      </c>
      <c r="G258">
        <v>9566</v>
      </c>
      <c r="H258" t="s">
        <v>55</v>
      </c>
      <c r="I258">
        <v>1000009566</v>
      </c>
      <c r="J258">
        <v>29442185</v>
      </c>
      <c r="K258" s="38">
        <v>44776.442499999997</v>
      </c>
      <c r="L258" t="s">
        <v>752</v>
      </c>
      <c r="M258" t="s">
        <v>88</v>
      </c>
      <c r="N258">
        <v>89.5</v>
      </c>
      <c r="O258">
        <v>14.22</v>
      </c>
      <c r="P258">
        <v>2.2799999999999998</v>
      </c>
      <c r="Q258">
        <v>4.2561999999999998</v>
      </c>
      <c r="R258">
        <v>0.68100000000000005</v>
      </c>
      <c r="S258" t="s">
        <v>1432</v>
      </c>
      <c r="T258">
        <v>6</v>
      </c>
      <c r="U258" t="s">
        <v>89</v>
      </c>
      <c r="W258" t="s">
        <v>754</v>
      </c>
    </row>
    <row r="259" spans="1:23" outlineLevel="2" x14ac:dyDescent="0.25">
      <c r="A259" t="s">
        <v>82</v>
      </c>
      <c r="B259" t="s">
        <v>83</v>
      </c>
      <c r="C259">
        <v>30</v>
      </c>
      <c r="D259" t="s">
        <v>84</v>
      </c>
      <c r="E259">
        <v>184</v>
      </c>
      <c r="F259" t="s">
        <v>85</v>
      </c>
      <c r="G259">
        <v>9566</v>
      </c>
      <c r="H259" t="s">
        <v>55</v>
      </c>
      <c r="I259">
        <v>1000009566</v>
      </c>
      <c r="J259">
        <v>29442915</v>
      </c>
      <c r="K259" s="38">
        <v>44776.485127314816</v>
      </c>
      <c r="L259" t="s">
        <v>752</v>
      </c>
      <c r="M259" t="s">
        <v>88</v>
      </c>
      <c r="N259">
        <v>356.5</v>
      </c>
      <c r="O259">
        <v>14.22</v>
      </c>
      <c r="P259">
        <v>2.2799999999999998</v>
      </c>
      <c r="Q259">
        <v>4.2561999999999998</v>
      </c>
      <c r="R259">
        <v>0.68100000000000005</v>
      </c>
      <c r="S259" t="s">
        <v>1434</v>
      </c>
      <c r="T259">
        <v>6</v>
      </c>
      <c r="U259" t="s">
        <v>89</v>
      </c>
      <c r="W259" t="s">
        <v>754</v>
      </c>
    </row>
    <row r="260" spans="1:23" outlineLevel="2" x14ac:dyDescent="0.25">
      <c r="A260" t="s">
        <v>82</v>
      </c>
      <c r="B260" t="s">
        <v>83</v>
      </c>
      <c r="C260">
        <v>30</v>
      </c>
      <c r="D260" t="s">
        <v>84</v>
      </c>
      <c r="E260">
        <v>184</v>
      </c>
      <c r="F260" t="s">
        <v>85</v>
      </c>
      <c r="G260">
        <v>9566</v>
      </c>
      <c r="H260" t="s">
        <v>55</v>
      </c>
      <c r="I260">
        <v>1000009566</v>
      </c>
      <c r="J260">
        <v>29443065</v>
      </c>
      <c r="K260" s="38">
        <v>44776.493032407408</v>
      </c>
      <c r="L260" t="s">
        <v>753</v>
      </c>
      <c r="M260" t="s">
        <v>88</v>
      </c>
      <c r="N260">
        <v>159.5</v>
      </c>
      <c r="O260">
        <v>14.22</v>
      </c>
      <c r="P260">
        <v>2.2799999999999998</v>
      </c>
      <c r="Q260">
        <v>4.2561999999999998</v>
      </c>
      <c r="R260">
        <v>0.68100000000000005</v>
      </c>
      <c r="S260" t="s">
        <v>1436</v>
      </c>
      <c r="T260">
        <v>6</v>
      </c>
      <c r="U260" t="s">
        <v>89</v>
      </c>
      <c r="W260" t="s">
        <v>754</v>
      </c>
    </row>
    <row r="261" spans="1:23" outlineLevel="2" x14ac:dyDescent="0.25">
      <c r="A261" t="s">
        <v>82</v>
      </c>
      <c r="B261" t="s">
        <v>83</v>
      </c>
      <c r="C261">
        <v>30</v>
      </c>
      <c r="D261" t="s">
        <v>84</v>
      </c>
      <c r="E261">
        <v>184</v>
      </c>
      <c r="F261" t="s">
        <v>85</v>
      </c>
      <c r="G261">
        <v>9566</v>
      </c>
      <c r="H261" t="s">
        <v>55</v>
      </c>
      <c r="I261">
        <v>1000009566</v>
      </c>
      <c r="J261">
        <v>29444799</v>
      </c>
      <c r="K261" s="38">
        <v>44776.609710648147</v>
      </c>
      <c r="L261" t="s">
        <v>752</v>
      </c>
      <c r="M261" t="s">
        <v>88</v>
      </c>
      <c r="N261">
        <v>105.5</v>
      </c>
      <c r="O261">
        <v>14.22</v>
      </c>
      <c r="P261">
        <v>2.2799999999999998</v>
      </c>
      <c r="Q261">
        <v>4.2561999999999998</v>
      </c>
      <c r="R261">
        <v>0.68100000000000005</v>
      </c>
      <c r="S261" t="s">
        <v>1438</v>
      </c>
      <c r="T261">
        <v>6</v>
      </c>
      <c r="U261" t="s">
        <v>89</v>
      </c>
      <c r="W261" t="s">
        <v>754</v>
      </c>
    </row>
    <row r="262" spans="1:23" outlineLevel="2" x14ac:dyDescent="0.25">
      <c r="A262" t="s">
        <v>82</v>
      </c>
      <c r="B262" t="s">
        <v>83</v>
      </c>
      <c r="C262">
        <v>30</v>
      </c>
      <c r="D262" t="s">
        <v>84</v>
      </c>
      <c r="E262">
        <v>184</v>
      </c>
      <c r="F262" t="s">
        <v>85</v>
      </c>
      <c r="G262">
        <v>9566</v>
      </c>
      <c r="H262" t="s">
        <v>55</v>
      </c>
      <c r="I262">
        <v>1000009566</v>
      </c>
      <c r="J262">
        <v>29444991</v>
      </c>
      <c r="K262" s="38">
        <v>44776.626458333332</v>
      </c>
      <c r="L262" t="s">
        <v>752</v>
      </c>
      <c r="M262" t="s">
        <v>88</v>
      </c>
      <c r="N262">
        <v>161.5</v>
      </c>
      <c r="O262">
        <v>14.22</v>
      </c>
      <c r="P262">
        <v>2.2799999999999998</v>
      </c>
      <c r="Q262">
        <v>4.2561999999999998</v>
      </c>
      <c r="R262">
        <v>0.68100000000000005</v>
      </c>
      <c r="S262" t="s">
        <v>682</v>
      </c>
      <c r="T262">
        <v>6</v>
      </c>
      <c r="U262" t="s">
        <v>89</v>
      </c>
      <c r="W262" t="s">
        <v>754</v>
      </c>
    </row>
    <row r="263" spans="1:23" outlineLevel="2" x14ac:dyDescent="0.25">
      <c r="A263" t="s">
        <v>82</v>
      </c>
      <c r="B263" t="s">
        <v>83</v>
      </c>
      <c r="C263">
        <v>30</v>
      </c>
      <c r="D263" t="s">
        <v>84</v>
      </c>
      <c r="E263">
        <v>184</v>
      </c>
      <c r="F263" t="s">
        <v>85</v>
      </c>
      <c r="G263">
        <v>9566</v>
      </c>
      <c r="H263" t="s">
        <v>55</v>
      </c>
      <c r="I263">
        <v>1000009566</v>
      </c>
      <c r="J263">
        <v>29445162</v>
      </c>
      <c r="K263" s="38">
        <v>44776.640057870369</v>
      </c>
      <c r="L263" t="s">
        <v>753</v>
      </c>
      <c r="M263" t="s">
        <v>88</v>
      </c>
      <c r="N263">
        <v>113.5</v>
      </c>
      <c r="O263">
        <v>14.22</v>
      </c>
      <c r="P263">
        <v>2.2799999999999998</v>
      </c>
      <c r="Q263">
        <v>4.2561999999999998</v>
      </c>
      <c r="R263">
        <v>0.68100000000000005</v>
      </c>
      <c r="S263" t="s">
        <v>601</v>
      </c>
      <c r="T263">
        <v>6</v>
      </c>
      <c r="U263" t="s">
        <v>89</v>
      </c>
      <c r="W263" t="s">
        <v>754</v>
      </c>
    </row>
    <row r="264" spans="1:23" outlineLevel="2" x14ac:dyDescent="0.25">
      <c r="A264" t="s">
        <v>82</v>
      </c>
      <c r="B264" t="s">
        <v>83</v>
      </c>
      <c r="C264">
        <v>30</v>
      </c>
      <c r="D264" t="s">
        <v>84</v>
      </c>
      <c r="E264">
        <v>184</v>
      </c>
      <c r="F264" t="s">
        <v>85</v>
      </c>
      <c r="G264">
        <v>9566</v>
      </c>
      <c r="H264" t="s">
        <v>55</v>
      </c>
      <c r="I264">
        <v>1000009566</v>
      </c>
      <c r="J264">
        <v>29447006</v>
      </c>
      <c r="K264" s="38">
        <v>44776.769525462965</v>
      </c>
      <c r="L264" t="s">
        <v>752</v>
      </c>
      <c r="M264" t="s">
        <v>88</v>
      </c>
      <c r="N264">
        <v>1194.5</v>
      </c>
      <c r="O264">
        <v>14.22</v>
      </c>
      <c r="P264">
        <v>2.2799999999999998</v>
      </c>
      <c r="Q264">
        <v>4.2561999999999998</v>
      </c>
      <c r="R264">
        <v>0.68100000000000005</v>
      </c>
      <c r="S264" t="s">
        <v>1442</v>
      </c>
      <c r="T264">
        <v>6</v>
      </c>
      <c r="U264" t="s">
        <v>89</v>
      </c>
      <c r="W264" t="s">
        <v>754</v>
      </c>
    </row>
    <row r="265" spans="1:23" outlineLevel="2" x14ac:dyDescent="0.25">
      <c r="A265" t="s">
        <v>82</v>
      </c>
      <c r="B265" t="s">
        <v>83</v>
      </c>
      <c r="C265">
        <v>30</v>
      </c>
      <c r="D265" t="s">
        <v>84</v>
      </c>
      <c r="E265">
        <v>184</v>
      </c>
      <c r="F265" t="s">
        <v>85</v>
      </c>
      <c r="G265">
        <v>9566</v>
      </c>
      <c r="H265" t="s">
        <v>55</v>
      </c>
      <c r="I265">
        <v>1000009566</v>
      </c>
      <c r="J265">
        <v>29451176</v>
      </c>
      <c r="K265" s="38">
        <v>44777.414583333331</v>
      </c>
      <c r="L265" t="s">
        <v>752</v>
      </c>
      <c r="M265" t="s">
        <v>88</v>
      </c>
      <c r="N265">
        <v>116.5</v>
      </c>
      <c r="O265">
        <v>14.22</v>
      </c>
      <c r="P265">
        <v>2.2799999999999998</v>
      </c>
      <c r="Q265">
        <v>4.2561999999999998</v>
      </c>
      <c r="R265">
        <v>0.68100000000000005</v>
      </c>
      <c r="S265" t="s">
        <v>1228</v>
      </c>
      <c r="T265">
        <v>6</v>
      </c>
      <c r="U265" t="s">
        <v>89</v>
      </c>
      <c r="W265" t="s">
        <v>754</v>
      </c>
    </row>
    <row r="266" spans="1:23" outlineLevel="2" x14ac:dyDescent="0.25">
      <c r="A266" t="s">
        <v>82</v>
      </c>
      <c r="B266" t="s">
        <v>83</v>
      </c>
      <c r="C266">
        <v>30</v>
      </c>
      <c r="D266" t="s">
        <v>84</v>
      </c>
      <c r="E266">
        <v>184</v>
      </c>
      <c r="F266" t="s">
        <v>85</v>
      </c>
      <c r="G266">
        <v>9566</v>
      </c>
      <c r="H266" t="s">
        <v>55</v>
      </c>
      <c r="I266">
        <v>1000009566</v>
      </c>
      <c r="J266">
        <v>29454933</v>
      </c>
      <c r="K266" s="38">
        <v>44777.557291666664</v>
      </c>
      <c r="L266" t="s">
        <v>753</v>
      </c>
      <c r="M266" t="s">
        <v>88</v>
      </c>
      <c r="N266">
        <v>181.5</v>
      </c>
      <c r="O266">
        <v>14.22</v>
      </c>
      <c r="P266">
        <v>2.2799999999999998</v>
      </c>
      <c r="Q266">
        <v>4.2561999999999998</v>
      </c>
      <c r="R266">
        <v>0.68100000000000005</v>
      </c>
      <c r="S266" t="s">
        <v>1230</v>
      </c>
      <c r="T266">
        <v>6</v>
      </c>
      <c r="U266" t="s">
        <v>89</v>
      </c>
      <c r="W266" t="s">
        <v>754</v>
      </c>
    </row>
    <row r="267" spans="1:23" outlineLevel="2" x14ac:dyDescent="0.25">
      <c r="A267" t="s">
        <v>82</v>
      </c>
      <c r="B267" t="s">
        <v>83</v>
      </c>
      <c r="C267">
        <v>30</v>
      </c>
      <c r="D267" t="s">
        <v>84</v>
      </c>
      <c r="E267">
        <v>184</v>
      </c>
      <c r="F267" t="s">
        <v>85</v>
      </c>
      <c r="G267">
        <v>9566</v>
      </c>
      <c r="H267" t="s">
        <v>55</v>
      </c>
      <c r="I267">
        <v>1000009566</v>
      </c>
      <c r="J267">
        <v>29460244</v>
      </c>
      <c r="K267" s="38">
        <v>44777.750555555554</v>
      </c>
      <c r="L267" t="s">
        <v>752</v>
      </c>
      <c r="M267" t="s">
        <v>88</v>
      </c>
      <c r="N267">
        <v>53.5</v>
      </c>
      <c r="O267">
        <v>14.22</v>
      </c>
      <c r="P267">
        <v>2.2799999999999998</v>
      </c>
      <c r="Q267">
        <v>4.2561999999999998</v>
      </c>
      <c r="R267">
        <v>0.68100000000000005</v>
      </c>
      <c r="S267" t="s">
        <v>1232</v>
      </c>
      <c r="T267">
        <v>6</v>
      </c>
      <c r="U267" t="s">
        <v>89</v>
      </c>
      <c r="W267" t="s">
        <v>754</v>
      </c>
    </row>
    <row r="268" spans="1:23" outlineLevel="2" x14ac:dyDescent="0.25">
      <c r="A268" t="s">
        <v>82</v>
      </c>
      <c r="B268" t="s">
        <v>83</v>
      </c>
      <c r="C268">
        <v>30</v>
      </c>
      <c r="D268" t="s">
        <v>84</v>
      </c>
      <c r="E268">
        <v>184</v>
      </c>
      <c r="F268" t="s">
        <v>85</v>
      </c>
      <c r="G268">
        <v>9566</v>
      </c>
      <c r="H268" t="s">
        <v>55</v>
      </c>
      <c r="I268">
        <v>1000009566</v>
      </c>
      <c r="J268">
        <v>29463426</v>
      </c>
      <c r="K268" s="38">
        <v>44777.81422453704</v>
      </c>
      <c r="L268" t="s">
        <v>752</v>
      </c>
      <c r="M268" t="s">
        <v>88</v>
      </c>
      <c r="N268">
        <v>79.5</v>
      </c>
      <c r="O268">
        <v>14.22</v>
      </c>
      <c r="P268">
        <v>2.2799999999999998</v>
      </c>
      <c r="Q268">
        <v>4.2561999999999998</v>
      </c>
      <c r="R268">
        <v>0.68100000000000005</v>
      </c>
      <c r="S268" t="s">
        <v>1234</v>
      </c>
      <c r="T268">
        <v>6</v>
      </c>
      <c r="U268" t="s">
        <v>89</v>
      </c>
      <c r="W268" t="s">
        <v>754</v>
      </c>
    </row>
    <row r="269" spans="1:23" outlineLevel="2" x14ac:dyDescent="0.25">
      <c r="A269" t="s">
        <v>82</v>
      </c>
      <c r="B269" t="s">
        <v>83</v>
      </c>
      <c r="C269">
        <v>30</v>
      </c>
      <c r="D269" t="s">
        <v>84</v>
      </c>
      <c r="E269">
        <v>184</v>
      </c>
      <c r="F269" t="s">
        <v>85</v>
      </c>
      <c r="G269">
        <v>9566</v>
      </c>
      <c r="H269" t="s">
        <v>55</v>
      </c>
      <c r="I269">
        <v>1000009566</v>
      </c>
      <c r="J269">
        <v>29466928</v>
      </c>
      <c r="K269" s="38">
        <v>44777.871874999997</v>
      </c>
      <c r="L269" t="s">
        <v>752</v>
      </c>
      <c r="M269" t="s">
        <v>88</v>
      </c>
      <c r="N269">
        <v>2209.5</v>
      </c>
      <c r="O269">
        <v>14.22</v>
      </c>
      <c r="P269">
        <v>2.2799999999999998</v>
      </c>
      <c r="Q269">
        <v>4.2561999999999998</v>
      </c>
      <c r="R269">
        <v>0.68100000000000005</v>
      </c>
      <c r="S269" t="s">
        <v>1236</v>
      </c>
      <c r="T269">
        <v>6</v>
      </c>
      <c r="U269" t="s">
        <v>89</v>
      </c>
      <c r="W269" t="s">
        <v>754</v>
      </c>
    </row>
    <row r="270" spans="1:23" outlineLevel="2" x14ac:dyDescent="0.25">
      <c r="A270" t="s">
        <v>82</v>
      </c>
      <c r="B270" t="s">
        <v>83</v>
      </c>
      <c r="C270">
        <v>30</v>
      </c>
      <c r="D270" t="s">
        <v>84</v>
      </c>
      <c r="E270">
        <v>184</v>
      </c>
      <c r="F270" t="s">
        <v>85</v>
      </c>
      <c r="G270">
        <v>8679</v>
      </c>
      <c r="H270" t="s">
        <v>60</v>
      </c>
      <c r="I270">
        <v>1000008679</v>
      </c>
      <c r="J270">
        <v>29426758</v>
      </c>
      <c r="K270" s="38">
        <v>44774.339629629627</v>
      </c>
      <c r="L270" t="s">
        <v>753</v>
      </c>
      <c r="M270" t="s">
        <v>88</v>
      </c>
      <c r="N270">
        <v>72.5</v>
      </c>
      <c r="O270">
        <v>14.22</v>
      </c>
      <c r="P270">
        <v>2.2799999999999998</v>
      </c>
      <c r="Q270">
        <v>4.2561999999999998</v>
      </c>
      <c r="R270">
        <v>0.68100000000000005</v>
      </c>
      <c r="S270" t="s">
        <v>1604</v>
      </c>
      <c r="T270">
        <v>6</v>
      </c>
      <c r="U270" t="s">
        <v>89</v>
      </c>
      <c r="W270" t="s">
        <v>754</v>
      </c>
    </row>
    <row r="271" spans="1:23" outlineLevel="2" x14ac:dyDescent="0.25">
      <c r="A271" t="s">
        <v>82</v>
      </c>
      <c r="B271" t="s">
        <v>83</v>
      </c>
      <c r="C271">
        <v>30</v>
      </c>
      <c r="D271" t="s">
        <v>84</v>
      </c>
      <c r="E271">
        <v>184</v>
      </c>
      <c r="F271" t="s">
        <v>85</v>
      </c>
      <c r="G271">
        <v>8679</v>
      </c>
      <c r="H271" t="s">
        <v>60</v>
      </c>
      <c r="I271">
        <v>1000008679</v>
      </c>
      <c r="J271">
        <v>29431945</v>
      </c>
      <c r="K271" s="38">
        <v>44774.752164351848</v>
      </c>
      <c r="L271" t="s">
        <v>752</v>
      </c>
      <c r="M271" t="s">
        <v>88</v>
      </c>
      <c r="N271">
        <v>440.5</v>
      </c>
      <c r="O271">
        <v>14.22</v>
      </c>
      <c r="P271">
        <v>2.2799999999999998</v>
      </c>
      <c r="Q271">
        <v>4.2561999999999998</v>
      </c>
      <c r="R271">
        <v>0.68100000000000005</v>
      </c>
      <c r="S271" t="s">
        <v>1606</v>
      </c>
      <c r="T271">
        <v>6</v>
      </c>
      <c r="U271" t="s">
        <v>89</v>
      </c>
      <c r="W271" t="s">
        <v>754</v>
      </c>
    </row>
    <row r="272" spans="1:23" outlineLevel="2" x14ac:dyDescent="0.25">
      <c r="A272" t="s">
        <v>82</v>
      </c>
      <c r="B272" t="s">
        <v>83</v>
      </c>
      <c r="C272">
        <v>30</v>
      </c>
      <c r="D272" t="s">
        <v>84</v>
      </c>
      <c r="E272">
        <v>184</v>
      </c>
      <c r="F272" t="s">
        <v>85</v>
      </c>
      <c r="G272">
        <v>8679</v>
      </c>
      <c r="H272" t="s">
        <v>60</v>
      </c>
      <c r="I272">
        <v>1000008679</v>
      </c>
      <c r="J272">
        <v>29443933</v>
      </c>
      <c r="K272" s="38">
        <v>44776.547337962962</v>
      </c>
      <c r="L272" t="s">
        <v>752</v>
      </c>
      <c r="M272" t="s">
        <v>88</v>
      </c>
      <c r="N272">
        <v>180.5</v>
      </c>
      <c r="O272">
        <v>14.22</v>
      </c>
      <c r="P272">
        <v>2.2799999999999998</v>
      </c>
      <c r="Q272">
        <v>4.2561999999999998</v>
      </c>
      <c r="R272">
        <v>0.68100000000000005</v>
      </c>
      <c r="S272" t="s">
        <v>1444</v>
      </c>
      <c r="T272">
        <v>6</v>
      </c>
      <c r="U272" t="s">
        <v>89</v>
      </c>
      <c r="W272" t="s">
        <v>754</v>
      </c>
    </row>
    <row r="273" spans="1:23" outlineLevel="2" x14ac:dyDescent="0.25">
      <c r="A273" t="s">
        <v>82</v>
      </c>
      <c r="B273" t="s">
        <v>83</v>
      </c>
      <c r="C273">
        <v>30</v>
      </c>
      <c r="D273" t="s">
        <v>84</v>
      </c>
      <c r="E273">
        <v>184</v>
      </c>
      <c r="F273" t="s">
        <v>85</v>
      </c>
      <c r="G273">
        <v>8679</v>
      </c>
      <c r="H273" t="s">
        <v>60</v>
      </c>
      <c r="I273">
        <v>1000008679</v>
      </c>
      <c r="J273">
        <v>29444863</v>
      </c>
      <c r="K273" s="38">
        <v>44776.615243055552</v>
      </c>
      <c r="L273" t="s">
        <v>753</v>
      </c>
      <c r="M273" t="s">
        <v>88</v>
      </c>
      <c r="N273">
        <v>74.5</v>
      </c>
      <c r="O273">
        <v>14.22</v>
      </c>
      <c r="P273">
        <v>2.2799999999999998</v>
      </c>
      <c r="Q273">
        <v>4.2561999999999998</v>
      </c>
      <c r="R273">
        <v>0.68100000000000005</v>
      </c>
      <c r="S273" t="s">
        <v>1446</v>
      </c>
      <c r="T273">
        <v>6</v>
      </c>
      <c r="U273" t="s">
        <v>89</v>
      </c>
      <c r="W273" t="s">
        <v>754</v>
      </c>
    </row>
    <row r="274" spans="1:23" outlineLevel="2" x14ac:dyDescent="0.25">
      <c r="A274" t="s">
        <v>82</v>
      </c>
      <c r="B274" t="s">
        <v>83</v>
      </c>
      <c r="C274">
        <v>30</v>
      </c>
      <c r="D274" t="s">
        <v>84</v>
      </c>
      <c r="E274">
        <v>184</v>
      </c>
      <c r="F274" t="s">
        <v>85</v>
      </c>
      <c r="G274">
        <v>8679</v>
      </c>
      <c r="H274" t="s">
        <v>60</v>
      </c>
      <c r="I274">
        <v>1000008679</v>
      </c>
      <c r="J274">
        <v>29447606</v>
      </c>
      <c r="K274" s="38">
        <v>44776.797905092593</v>
      </c>
      <c r="L274" t="s">
        <v>752</v>
      </c>
      <c r="M274" t="s">
        <v>88</v>
      </c>
      <c r="N274">
        <v>177.5</v>
      </c>
      <c r="O274">
        <v>14.22</v>
      </c>
      <c r="P274">
        <v>2.2799999999999998</v>
      </c>
      <c r="Q274">
        <v>4.2561999999999998</v>
      </c>
      <c r="R274">
        <v>0.68100000000000005</v>
      </c>
      <c r="S274" t="s">
        <v>649</v>
      </c>
      <c r="T274">
        <v>6</v>
      </c>
      <c r="U274" t="s">
        <v>89</v>
      </c>
      <c r="W274" t="s">
        <v>754</v>
      </c>
    </row>
    <row r="275" spans="1:23" outlineLevel="2" x14ac:dyDescent="0.25">
      <c r="A275" t="s">
        <v>82</v>
      </c>
      <c r="B275" t="s">
        <v>83</v>
      </c>
      <c r="C275">
        <v>30</v>
      </c>
      <c r="D275" t="s">
        <v>84</v>
      </c>
      <c r="E275">
        <v>184</v>
      </c>
      <c r="F275" t="s">
        <v>85</v>
      </c>
      <c r="G275">
        <v>8679</v>
      </c>
      <c r="H275" t="s">
        <v>60</v>
      </c>
      <c r="I275">
        <v>1000008679</v>
      </c>
      <c r="J275">
        <v>29447630</v>
      </c>
      <c r="K275" s="38">
        <v>44776.798946759256</v>
      </c>
      <c r="L275" t="s">
        <v>752</v>
      </c>
      <c r="M275" t="s">
        <v>88</v>
      </c>
      <c r="N275">
        <v>44.5</v>
      </c>
      <c r="O275">
        <v>14.22</v>
      </c>
      <c r="P275">
        <v>2.2799999999999998</v>
      </c>
      <c r="Q275">
        <v>4.2561999999999998</v>
      </c>
      <c r="R275">
        <v>0.68100000000000005</v>
      </c>
      <c r="S275" t="s">
        <v>648</v>
      </c>
      <c r="T275">
        <v>6</v>
      </c>
      <c r="U275" t="s">
        <v>89</v>
      </c>
      <c r="W275" t="s">
        <v>754</v>
      </c>
    </row>
    <row r="276" spans="1:23" outlineLevel="2" x14ac:dyDescent="0.25">
      <c r="A276" t="s">
        <v>82</v>
      </c>
      <c r="B276" t="s">
        <v>83</v>
      </c>
      <c r="C276">
        <v>30</v>
      </c>
      <c r="D276" t="s">
        <v>84</v>
      </c>
      <c r="E276">
        <v>184</v>
      </c>
      <c r="F276" t="s">
        <v>85</v>
      </c>
      <c r="G276">
        <v>8681</v>
      </c>
      <c r="H276" t="s">
        <v>41</v>
      </c>
      <c r="I276">
        <v>1000008681</v>
      </c>
      <c r="J276">
        <v>29448226</v>
      </c>
      <c r="K276" s="38">
        <v>44776.825416666667</v>
      </c>
      <c r="L276" t="s">
        <v>752</v>
      </c>
      <c r="M276" t="s">
        <v>88</v>
      </c>
      <c r="N276">
        <v>97.5</v>
      </c>
      <c r="O276">
        <v>14.22</v>
      </c>
      <c r="P276">
        <v>2.2799999999999998</v>
      </c>
      <c r="Q276">
        <v>4.2561999999999998</v>
      </c>
      <c r="R276">
        <v>0.68100000000000005</v>
      </c>
      <c r="S276" t="s">
        <v>1450</v>
      </c>
      <c r="T276">
        <v>6</v>
      </c>
      <c r="U276" t="s">
        <v>89</v>
      </c>
      <c r="W276" t="s">
        <v>754</v>
      </c>
    </row>
    <row r="277" spans="1:23" outlineLevel="2" x14ac:dyDescent="0.25">
      <c r="A277" t="s">
        <v>82</v>
      </c>
      <c r="B277" t="s">
        <v>83</v>
      </c>
      <c r="C277">
        <v>30</v>
      </c>
      <c r="D277" t="s">
        <v>84</v>
      </c>
      <c r="E277">
        <v>184</v>
      </c>
      <c r="F277" t="s">
        <v>85</v>
      </c>
      <c r="G277">
        <v>8681</v>
      </c>
      <c r="H277" t="s">
        <v>41</v>
      </c>
      <c r="I277">
        <v>1000008681</v>
      </c>
      <c r="J277">
        <v>29454187</v>
      </c>
      <c r="K277" s="38">
        <v>44777.527800925927</v>
      </c>
      <c r="L277" t="s">
        <v>752</v>
      </c>
      <c r="M277" t="s">
        <v>88</v>
      </c>
      <c r="N277">
        <v>234.5</v>
      </c>
      <c r="O277">
        <v>14.22</v>
      </c>
      <c r="P277">
        <v>2.2799999999999998</v>
      </c>
      <c r="Q277">
        <v>4.2561999999999998</v>
      </c>
      <c r="R277">
        <v>0.68100000000000005</v>
      </c>
      <c r="S277" t="s">
        <v>1238</v>
      </c>
      <c r="T277">
        <v>6</v>
      </c>
      <c r="U277" t="s">
        <v>89</v>
      </c>
      <c r="W277" t="s">
        <v>754</v>
      </c>
    </row>
    <row r="278" spans="1:23" outlineLevel="2" x14ac:dyDescent="0.25">
      <c r="A278" t="s">
        <v>82</v>
      </c>
      <c r="B278" t="s">
        <v>83</v>
      </c>
      <c r="C278">
        <v>30</v>
      </c>
      <c r="D278" t="s">
        <v>84</v>
      </c>
      <c r="E278">
        <v>184</v>
      </c>
      <c r="F278" t="s">
        <v>85</v>
      </c>
      <c r="G278">
        <v>8681</v>
      </c>
      <c r="H278" t="s">
        <v>41</v>
      </c>
      <c r="I278">
        <v>1000008681</v>
      </c>
      <c r="J278">
        <v>29468843</v>
      </c>
      <c r="K278" s="38">
        <v>44777.921655092592</v>
      </c>
      <c r="L278" t="s">
        <v>752</v>
      </c>
      <c r="M278" t="s">
        <v>88</v>
      </c>
      <c r="N278">
        <v>98.5</v>
      </c>
      <c r="O278">
        <v>14.22</v>
      </c>
      <c r="P278">
        <v>2.2799999999999998</v>
      </c>
      <c r="Q278">
        <v>4.2561999999999998</v>
      </c>
      <c r="R278">
        <v>0.68100000000000005</v>
      </c>
      <c r="S278" t="s">
        <v>1240</v>
      </c>
      <c r="T278">
        <v>6</v>
      </c>
      <c r="U278" t="s">
        <v>89</v>
      </c>
      <c r="W278" t="s">
        <v>754</v>
      </c>
    </row>
    <row r="279" spans="1:23" outlineLevel="2" x14ac:dyDescent="0.25">
      <c r="A279" t="s">
        <v>82</v>
      </c>
      <c r="B279" t="s">
        <v>83</v>
      </c>
      <c r="C279">
        <v>30</v>
      </c>
      <c r="D279" t="s">
        <v>84</v>
      </c>
      <c r="E279">
        <v>184</v>
      </c>
      <c r="F279" t="s">
        <v>85</v>
      </c>
      <c r="G279">
        <v>8683</v>
      </c>
      <c r="H279" t="s">
        <v>66</v>
      </c>
      <c r="I279">
        <v>1000008683</v>
      </c>
      <c r="J279">
        <v>29463836</v>
      </c>
      <c r="K279" s="38">
        <v>44777.82068287037</v>
      </c>
      <c r="L279" t="s">
        <v>752</v>
      </c>
      <c r="M279" t="s">
        <v>88</v>
      </c>
      <c r="N279">
        <v>156.5</v>
      </c>
      <c r="O279">
        <v>14.22</v>
      </c>
      <c r="P279">
        <v>2.2799999999999998</v>
      </c>
      <c r="Q279">
        <v>4.2561999999999998</v>
      </c>
      <c r="R279">
        <v>0.68100000000000005</v>
      </c>
      <c r="S279" t="s">
        <v>1242</v>
      </c>
      <c r="T279">
        <v>6</v>
      </c>
      <c r="U279" t="s">
        <v>89</v>
      </c>
      <c r="W279" t="s">
        <v>754</v>
      </c>
    </row>
    <row r="280" spans="1:23" outlineLevel="2" x14ac:dyDescent="0.25">
      <c r="A280" t="s">
        <v>82</v>
      </c>
      <c r="B280" t="s">
        <v>83</v>
      </c>
      <c r="C280">
        <v>30</v>
      </c>
      <c r="D280" t="s">
        <v>84</v>
      </c>
      <c r="E280">
        <v>184</v>
      </c>
      <c r="F280" t="s">
        <v>85</v>
      </c>
      <c r="G280">
        <v>8683</v>
      </c>
      <c r="H280" t="s">
        <v>66</v>
      </c>
      <c r="I280">
        <v>1000008683</v>
      </c>
      <c r="J280">
        <v>29463932</v>
      </c>
      <c r="K280" s="38">
        <v>44777.822233796294</v>
      </c>
      <c r="L280" t="s">
        <v>752</v>
      </c>
      <c r="M280" t="s">
        <v>88</v>
      </c>
      <c r="N280">
        <v>1834.5</v>
      </c>
      <c r="O280">
        <v>14.22</v>
      </c>
      <c r="P280">
        <v>2.2799999999999998</v>
      </c>
      <c r="Q280">
        <v>4.2561999999999998</v>
      </c>
      <c r="R280">
        <v>0.68100000000000005</v>
      </c>
      <c r="S280" t="s">
        <v>1244</v>
      </c>
      <c r="T280">
        <v>6</v>
      </c>
      <c r="U280" t="s">
        <v>89</v>
      </c>
      <c r="W280" t="s">
        <v>754</v>
      </c>
    </row>
    <row r="281" spans="1:23" outlineLevel="2" x14ac:dyDescent="0.25">
      <c r="A281" s="8" t="s">
        <v>82</v>
      </c>
      <c r="B281" s="8" t="s">
        <v>83</v>
      </c>
      <c r="C281" s="8">
        <v>30</v>
      </c>
      <c r="D281" s="8" t="s">
        <v>84</v>
      </c>
      <c r="E281" s="8">
        <v>184</v>
      </c>
      <c r="F281" s="8" t="s">
        <v>85</v>
      </c>
      <c r="G281" s="8">
        <v>9216</v>
      </c>
      <c r="H281" s="8" t="s">
        <v>43</v>
      </c>
      <c r="I281" s="8">
        <v>1000009216</v>
      </c>
      <c r="J281" s="8">
        <v>29432808</v>
      </c>
      <c r="K281" s="39">
        <v>44774.816701388889</v>
      </c>
      <c r="L281" s="8" t="s">
        <v>752</v>
      </c>
      <c r="M281" s="8" t="s">
        <v>88</v>
      </c>
      <c r="N281" s="8">
        <v>137.5</v>
      </c>
      <c r="O281" s="8">
        <v>14.22</v>
      </c>
      <c r="P281" s="8">
        <v>2.2799999999999998</v>
      </c>
      <c r="Q281" s="8">
        <v>4.2561999999999998</v>
      </c>
      <c r="R281" s="8">
        <v>0.68100000000000005</v>
      </c>
      <c r="S281" s="8" t="s">
        <v>1617</v>
      </c>
      <c r="T281" s="8">
        <v>6</v>
      </c>
      <c r="U281" s="8" t="s">
        <v>89</v>
      </c>
      <c r="V281" s="8"/>
    </row>
    <row r="282" spans="1:23" outlineLevel="2" x14ac:dyDescent="0.25">
      <c r="A282" t="s">
        <v>82</v>
      </c>
      <c r="B282" t="s">
        <v>83</v>
      </c>
      <c r="C282">
        <v>30</v>
      </c>
      <c r="D282" t="s">
        <v>84</v>
      </c>
      <c r="E282">
        <v>184</v>
      </c>
      <c r="F282" t="s">
        <v>85</v>
      </c>
      <c r="G282">
        <v>9216</v>
      </c>
      <c r="H282" t="s">
        <v>43</v>
      </c>
      <c r="I282">
        <v>1000009216</v>
      </c>
      <c r="J282">
        <v>29450720</v>
      </c>
      <c r="K282" s="38">
        <v>44777.394236111111</v>
      </c>
      <c r="L282" t="s">
        <v>752</v>
      </c>
      <c r="M282" t="s">
        <v>88</v>
      </c>
      <c r="N282">
        <v>372.5</v>
      </c>
      <c r="O282">
        <v>14.22</v>
      </c>
      <c r="P282">
        <v>2.2799999999999998</v>
      </c>
      <c r="Q282">
        <v>4.2561999999999998</v>
      </c>
      <c r="R282">
        <v>0.68100000000000005</v>
      </c>
      <c r="S282" t="s">
        <v>1246</v>
      </c>
      <c r="T282">
        <v>6</v>
      </c>
      <c r="U282" t="s">
        <v>89</v>
      </c>
      <c r="W282" t="s">
        <v>754</v>
      </c>
    </row>
    <row r="283" spans="1:23" outlineLevel="2" x14ac:dyDescent="0.25">
      <c r="A283" t="s">
        <v>82</v>
      </c>
      <c r="B283" t="s">
        <v>83</v>
      </c>
      <c r="C283">
        <v>30</v>
      </c>
      <c r="D283" t="s">
        <v>84</v>
      </c>
      <c r="E283">
        <v>184</v>
      </c>
      <c r="F283" t="s">
        <v>85</v>
      </c>
      <c r="G283">
        <v>9216</v>
      </c>
      <c r="H283" t="s">
        <v>43</v>
      </c>
      <c r="I283">
        <v>1000009216</v>
      </c>
      <c r="J283">
        <v>29464480</v>
      </c>
      <c r="K283" s="38">
        <v>44777.830613425926</v>
      </c>
      <c r="L283" t="s">
        <v>752</v>
      </c>
      <c r="M283" t="s">
        <v>88</v>
      </c>
      <c r="N283">
        <v>80.5</v>
      </c>
      <c r="O283">
        <v>14.22</v>
      </c>
      <c r="P283">
        <v>2.2799999999999998</v>
      </c>
      <c r="Q283">
        <v>4.2561999999999998</v>
      </c>
      <c r="R283">
        <v>0.68100000000000005</v>
      </c>
      <c r="S283" t="s">
        <v>1248</v>
      </c>
      <c r="T283">
        <v>6</v>
      </c>
      <c r="U283" t="s">
        <v>89</v>
      </c>
      <c r="W283" t="s">
        <v>754</v>
      </c>
    </row>
    <row r="284" spans="1:23" outlineLevel="2" x14ac:dyDescent="0.25">
      <c r="A284" t="s">
        <v>82</v>
      </c>
      <c r="B284" t="s">
        <v>83</v>
      </c>
      <c r="C284">
        <v>30</v>
      </c>
      <c r="D284" t="s">
        <v>84</v>
      </c>
      <c r="E284">
        <v>184</v>
      </c>
      <c r="F284" t="s">
        <v>85</v>
      </c>
      <c r="G284">
        <v>9216</v>
      </c>
      <c r="H284" t="s">
        <v>43</v>
      </c>
      <c r="I284">
        <v>1000009216</v>
      </c>
      <c r="J284">
        <v>29468445</v>
      </c>
      <c r="K284" s="38">
        <v>44777.906631944446</v>
      </c>
      <c r="L284" t="s">
        <v>752</v>
      </c>
      <c r="M284" t="s">
        <v>88</v>
      </c>
      <c r="N284">
        <v>112.5</v>
      </c>
      <c r="O284">
        <v>14.22</v>
      </c>
      <c r="P284">
        <v>2.2799999999999998</v>
      </c>
      <c r="Q284">
        <v>4.2561999999999998</v>
      </c>
      <c r="R284">
        <v>0.68100000000000005</v>
      </c>
      <c r="S284" t="s">
        <v>1250</v>
      </c>
      <c r="T284">
        <v>6</v>
      </c>
      <c r="U284" t="s">
        <v>89</v>
      </c>
      <c r="W284" t="s">
        <v>754</v>
      </c>
    </row>
    <row r="285" spans="1:23" outlineLevel="2" x14ac:dyDescent="0.25">
      <c r="A285" t="s">
        <v>82</v>
      </c>
      <c r="B285" t="s">
        <v>83</v>
      </c>
      <c r="C285">
        <v>30</v>
      </c>
      <c r="D285" t="s">
        <v>84</v>
      </c>
      <c r="E285">
        <v>184</v>
      </c>
      <c r="F285" t="s">
        <v>85</v>
      </c>
      <c r="G285">
        <v>9216</v>
      </c>
      <c r="H285" t="s">
        <v>43</v>
      </c>
      <c r="I285">
        <v>1000009216</v>
      </c>
      <c r="J285">
        <v>29469238</v>
      </c>
      <c r="K285" s="38">
        <v>44777.944884259261</v>
      </c>
      <c r="L285" t="s">
        <v>752</v>
      </c>
      <c r="M285" t="s">
        <v>88</v>
      </c>
      <c r="N285">
        <v>188.5</v>
      </c>
      <c r="O285">
        <v>14.22</v>
      </c>
      <c r="P285">
        <v>2.2799999999999998</v>
      </c>
      <c r="Q285">
        <v>4.2561999999999998</v>
      </c>
      <c r="R285">
        <v>0.68100000000000005</v>
      </c>
      <c r="S285" t="s">
        <v>1252</v>
      </c>
      <c r="T285">
        <v>6</v>
      </c>
      <c r="U285" t="s">
        <v>89</v>
      </c>
      <c r="W285" t="s">
        <v>754</v>
      </c>
    </row>
    <row r="286" spans="1:23" outlineLevel="2" x14ac:dyDescent="0.25">
      <c r="A286" t="s">
        <v>82</v>
      </c>
      <c r="B286" t="s">
        <v>83</v>
      </c>
      <c r="C286">
        <v>30</v>
      </c>
      <c r="D286" t="s">
        <v>84</v>
      </c>
      <c r="E286">
        <v>184</v>
      </c>
      <c r="F286" t="s">
        <v>85</v>
      </c>
      <c r="G286">
        <v>9216</v>
      </c>
      <c r="H286" t="s">
        <v>43</v>
      </c>
      <c r="I286">
        <v>1000009216</v>
      </c>
      <c r="J286">
        <v>29469277</v>
      </c>
      <c r="K286" s="38">
        <v>44777.947743055556</v>
      </c>
      <c r="L286" t="s">
        <v>752</v>
      </c>
      <c r="M286" t="s">
        <v>88</v>
      </c>
      <c r="N286">
        <v>732.5</v>
      </c>
      <c r="O286">
        <v>14.22</v>
      </c>
      <c r="P286">
        <v>2.2799999999999998</v>
      </c>
      <c r="Q286">
        <v>4.2561999999999998</v>
      </c>
      <c r="R286">
        <v>0.68100000000000005</v>
      </c>
      <c r="S286" t="s">
        <v>1254</v>
      </c>
      <c r="T286">
        <v>6</v>
      </c>
      <c r="U286" t="s">
        <v>89</v>
      </c>
      <c r="W286" t="s">
        <v>754</v>
      </c>
    </row>
    <row r="287" spans="1:23" x14ac:dyDescent="0.25">
      <c r="H287" s="9" t="s">
        <v>553</v>
      </c>
      <c r="K287" s="38"/>
      <c r="N287">
        <f>SUBTOTAL(9,N4:N286)</f>
        <v>60395.5</v>
      </c>
      <c r="Q287">
        <f>COUNT(O3:O286)</f>
        <v>283</v>
      </c>
      <c r="R287">
        <f>Q287*4.94</f>
        <v>1398.0200000000002</v>
      </c>
      <c r="S287" s="12">
        <f>N287-R287</f>
        <v>58997.48</v>
      </c>
    </row>
  </sheetData>
  <sortState xmlns:xlrd2="http://schemas.microsoft.com/office/spreadsheetml/2017/richdata2" ref="A4:V286">
    <sortCondition ref="H4:H286"/>
    <sortCondition ref="K4:K28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135CE-86B0-42DF-96C3-98C82CB8AFBE}">
  <sheetPr codeName="Hoja424"/>
  <dimension ref="A2:H286"/>
  <sheetViews>
    <sheetView workbookViewId="0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3" bestFit="1" customWidth="1"/>
    <col min="4" max="4" width="10.5703125" bestFit="1" customWidth="1"/>
    <col min="5" max="5" width="37.28515625" bestFit="1" customWidth="1"/>
    <col min="6" max="6" width="19.42578125" bestFit="1" customWidth="1"/>
    <col min="7" max="7" width="11.7109375" bestFit="1" customWidth="1"/>
  </cols>
  <sheetData>
    <row r="2" spans="1:8" x14ac:dyDescent="0.25">
      <c r="A2" t="s">
        <v>744</v>
      </c>
      <c r="B2" t="s">
        <v>19</v>
      </c>
      <c r="C2" t="s">
        <v>745</v>
      </c>
      <c r="D2" t="s">
        <v>750</v>
      </c>
      <c r="E2" t="s">
        <v>746</v>
      </c>
      <c r="F2" t="s">
        <v>748</v>
      </c>
      <c r="G2" t="s">
        <v>751</v>
      </c>
    </row>
    <row r="3" spans="1:8" x14ac:dyDescent="0.25">
      <c r="A3">
        <v>11</v>
      </c>
      <c r="B3" s="17">
        <v>44774</v>
      </c>
      <c r="C3" s="18">
        <v>1.545138888888889E-2</v>
      </c>
      <c r="D3">
        <v>1731604</v>
      </c>
      <c r="E3" t="s">
        <v>722</v>
      </c>
      <c r="F3" t="s">
        <v>749</v>
      </c>
      <c r="G3">
        <v>1</v>
      </c>
      <c r="H3" t="s">
        <v>754</v>
      </c>
    </row>
    <row r="4" spans="1:8" x14ac:dyDescent="0.25">
      <c r="A4">
        <v>11</v>
      </c>
      <c r="B4" s="17">
        <v>44774</v>
      </c>
      <c r="C4" s="18">
        <v>0.51245370370370369</v>
      </c>
      <c r="D4">
        <v>1731717</v>
      </c>
      <c r="E4" t="s">
        <v>703</v>
      </c>
      <c r="F4" t="s">
        <v>749</v>
      </c>
      <c r="G4">
        <v>1</v>
      </c>
      <c r="H4" t="s">
        <v>754</v>
      </c>
    </row>
    <row r="5" spans="1:8" x14ac:dyDescent="0.25">
      <c r="A5">
        <v>11</v>
      </c>
      <c r="B5" s="17">
        <v>44774</v>
      </c>
      <c r="C5" s="18">
        <v>0.51418981481481485</v>
      </c>
      <c r="D5">
        <v>1731718</v>
      </c>
      <c r="E5" t="s">
        <v>703</v>
      </c>
      <c r="F5" t="s">
        <v>749</v>
      </c>
      <c r="G5">
        <v>1</v>
      </c>
      <c r="H5" t="s">
        <v>754</v>
      </c>
    </row>
    <row r="6" spans="1:8" x14ac:dyDescent="0.25">
      <c r="A6">
        <v>11</v>
      </c>
      <c r="B6" s="17">
        <v>44774</v>
      </c>
      <c r="C6" s="18">
        <v>0.51585648148148155</v>
      </c>
      <c r="D6">
        <v>1731719</v>
      </c>
      <c r="E6" t="s">
        <v>703</v>
      </c>
      <c r="F6" t="s">
        <v>749</v>
      </c>
      <c r="G6">
        <v>1</v>
      </c>
      <c r="H6" t="s">
        <v>754</v>
      </c>
    </row>
    <row r="7" spans="1:8" x14ac:dyDescent="0.25">
      <c r="A7">
        <v>11</v>
      </c>
      <c r="B7" s="17">
        <v>44776</v>
      </c>
      <c r="C7" s="18">
        <v>0.53689814814814818</v>
      </c>
      <c r="D7">
        <v>1732506</v>
      </c>
      <c r="E7" t="s">
        <v>703</v>
      </c>
      <c r="F7" t="s">
        <v>749</v>
      </c>
      <c r="G7">
        <v>1</v>
      </c>
      <c r="H7" t="s">
        <v>754</v>
      </c>
    </row>
    <row r="8" spans="1:8" x14ac:dyDescent="0.25">
      <c r="A8">
        <v>11</v>
      </c>
      <c r="B8" s="17">
        <v>44776</v>
      </c>
      <c r="C8" s="18">
        <v>0.6404050925925926</v>
      </c>
      <c r="D8">
        <v>1732572</v>
      </c>
      <c r="E8" t="s">
        <v>703</v>
      </c>
      <c r="F8" t="s">
        <v>749</v>
      </c>
      <c r="G8">
        <v>1</v>
      </c>
      <c r="H8" t="s">
        <v>754</v>
      </c>
    </row>
    <row r="9" spans="1:8" x14ac:dyDescent="0.25">
      <c r="A9">
        <v>11</v>
      </c>
      <c r="B9" s="17">
        <v>44777</v>
      </c>
      <c r="C9" s="18">
        <v>0.38523148148148145</v>
      </c>
      <c r="D9">
        <v>1732856</v>
      </c>
      <c r="E9" t="s">
        <v>703</v>
      </c>
      <c r="F9" t="s">
        <v>749</v>
      </c>
      <c r="G9">
        <v>1</v>
      </c>
      <c r="H9" t="s">
        <v>754</v>
      </c>
    </row>
    <row r="10" spans="1:8" x14ac:dyDescent="0.25">
      <c r="A10">
        <v>11</v>
      </c>
      <c r="B10" s="17">
        <v>44777</v>
      </c>
      <c r="C10" s="18">
        <v>0.73818287037037045</v>
      </c>
      <c r="D10">
        <v>1733017</v>
      </c>
      <c r="E10" t="s">
        <v>703</v>
      </c>
      <c r="F10" t="s">
        <v>749</v>
      </c>
      <c r="G10">
        <v>1</v>
      </c>
      <c r="H10" t="s">
        <v>754</v>
      </c>
    </row>
    <row r="11" spans="1:8" x14ac:dyDescent="0.25">
      <c r="A11">
        <v>11</v>
      </c>
      <c r="B11" s="17">
        <v>44777</v>
      </c>
      <c r="C11" s="18">
        <v>0.74230324074074072</v>
      </c>
      <c r="D11">
        <v>1733020</v>
      </c>
      <c r="E11" t="s">
        <v>703</v>
      </c>
      <c r="F11" t="s">
        <v>749</v>
      </c>
      <c r="G11">
        <v>1</v>
      </c>
      <c r="H11" t="s">
        <v>754</v>
      </c>
    </row>
    <row r="12" spans="1:8" x14ac:dyDescent="0.25">
      <c r="A12">
        <v>11</v>
      </c>
      <c r="B12" s="17">
        <v>44777</v>
      </c>
      <c r="C12" s="18">
        <v>0.92043981481481485</v>
      </c>
      <c r="D12">
        <v>1733135</v>
      </c>
      <c r="E12" t="s">
        <v>706</v>
      </c>
      <c r="F12" t="s">
        <v>749</v>
      </c>
      <c r="G12">
        <v>1</v>
      </c>
      <c r="H12" t="s">
        <v>754</v>
      </c>
    </row>
    <row r="13" spans="1:8" x14ac:dyDescent="0.25">
      <c r="A13">
        <v>21</v>
      </c>
      <c r="B13" s="17">
        <v>44774</v>
      </c>
      <c r="C13" s="18">
        <v>0.48736111111111113</v>
      </c>
      <c r="D13">
        <v>1457307</v>
      </c>
      <c r="E13" t="s">
        <v>707</v>
      </c>
      <c r="F13" t="s">
        <v>749</v>
      </c>
      <c r="G13">
        <v>1</v>
      </c>
      <c r="H13" t="s">
        <v>754</v>
      </c>
    </row>
    <row r="14" spans="1:8" x14ac:dyDescent="0.25">
      <c r="A14">
        <v>21</v>
      </c>
      <c r="B14" s="17">
        <v>44774</v>
      </c>
      <c r="C14" s="18">
        <v>0.54996527777777782</v>
      </c>
      <c r="D14">
        <v>1457326</v>
      </c>
      <c r="E14" t="s">
        <v>707</v>
      </c>
      <c r="F14" t="s">
        <v>749</v>
      </c>
      <c r="G14">
        <v>1</v>
      </c>
      <c r="H14" t="s">
        <v>754</v>
      </c>
    </row>
    <row r="15" spans="1:8" x14ac:dyDescent="0.25">
      <c r="A15">
        <v>21</v>
      </c>
      <c r="B15" s="17">
        <v>44774</v>
      </c>
      <c r="C15" s="18">
        <v>0.89723379629629629</v>
      </c>
      <c r="D15">
        <v>1457449</v>
      </c>
      <c r="E15" t="s">
        <v>893</v>
      </c>
      <c r="F15" t="s">
        <v>749</v>
      </c>
      <c r="G15">
        <v>1</v>
      </c>
      <c r="H15" t="s">
        <v>754</v>
      </c>
    </row>
    <row r="16" spans="1:8" x14ac:dyDescent="0.25">
      <c r="A16">
        <v>21</v>
      </c>
      <c r="B16" s="17">
        <v>44776</v>
      </c>
      <c r="C16" s="18">
        <v>0.7990624999999999</v>
      </c>
      <c r="D16">
        <v>1457926</v>
      </c>
      <c r="E16" t="s">
        <v>707</v>
      </c>
      <c r="F16" t="s">
        <v>749</v>
      </c>
      <c r="G16">
        <v>1</v>
      </c>
      <c r="H16" t="s">
        <v>754</v>
      </c>
    </row>
    <row r="17" spans="1:8" x14ac:dyDescent="0.25">
      <c r="A17">
        <v>21</v>
      </c>
      <c r="B17" s="17">
        <v>44776</v>
      </c>
      <c r="C17" s="18">
        <v>0.87631944444444443</v>
      </c>
      <c r="D17">
        <v>1457962</v>
      </c>
      <c r="E17" t="s">
        <v>731</v>
      </c>
      <c r="F17" t="s">
        <v>749</v>
      </c>
      <c r="G17">
        <v>1</v>
      </c>
      <c r="H17" t="s">
        <v>754</v>
      </c>
    </row>
    <row r="18" spans="1:8" x14ac:dyDescent="0.25">
      <c r="A18">
        <v>31</v>
      </c>
      <c r="B18" s="17">
        <v>44776</v>
      </c>
      <c r="C18" s="18">
        <v>0.49009259259259258</v>
      </c>
      <c r="D18">
        <v>1506005</v>
      </c>
      <c r="E18" t="s">
        <v>894</v>
      </c>
      <c r="F18" t="s">
        <v>749</v>
      </c>
      <c r="G18">
        <v>1</v>
      </c>
      <c r="H18" t="s">
        <v>754</v>
      </c>
    </row>
    <row r="19" spans="1:8" x14ac:dyDescent="0.25">
      <c r="A19">
        <v>31</v>
      </c>
      <c r="B19" s="17">
        <v>44776</v>
      </c>
      <c r="C19" s="18">
        <v>0.51217592592592587</v>
      </c>
      <c r="D19">
        <v>1506015</v>
      </c>
      <c r="E19" t="s">
        <v>894</v>
      </c>
      <c r="F19" t="s">
        <v>749</v>
      </c>
      <c r="G19">
        <v>1</v>
      </c>
      <c r="H19" t="s">
        <v>754</v>
      </c>
    </row>
    <row r="20" spans="1:8" x14ac:dyDescent="0.25">
      <c r="A20">
        <v>31</v>
      </c>
      <c r="B20" s="17">
        <v>44777</v>
      </c>
      <c r="C20" s="18">
        <v>0.35752314814814817</v>
      </c>
      <c r="D20">
        <v>1506224</v>
      </c>
      <c r="E20" t="s">
        <v>894</v>
      </c>
      <c r="F20" t="s">
        <v>749</v>
      </c>
      <c r="G20">
        <v>1</v>
      </c>
      <c r="H20" t="s">
        <v>754</v>
      </c>
    </row>
    <row r="21" spans="1:8" x14ac:dyDescent="0.25">
      <c r="A21">
        <v>31</v>
      </c>
      <c r="B21" s="17">
        <v>44777</v>
      </c>
      <c r="C21" s="18">
        <v>0.35828703703703701</v>
      </c>
      <c r="D21">
        <v>1506225</v>
      </c>
      <c r="E21" t="s">
        <v>894</v>
      </c>
      <c r="F21" t="s">
        <v>749</v>
      </c>
      <c r="G21">
        <v>1</v>
      </c>
      <c r="H21" t="s">
        <v>754</v>
      </c>
    </row>
    <row r="22" spans="1:8" x14ac:dyDescent="0.25">
      <c r="A22">
        <v>31</v>
      </c>
      <c r="B22" s="17">
        <v>44777</v>
      </c>
      <c r="C22" s="18">
        <v>0.3598958333333333</v>
      </c>
      <c r="D22">
        <v>1506227</v>
      </c>
      <c r="E22" t="s">
        <v>894</v>
      </c>
      <c r="F22" t="s">
        <v>749</v>
      </c>
      <c r="G22">
        <v>1</v>
      </c>
      <c r="H22" t="s">
        <v>754</v>
      </c>
    </row>
    <row r="23" spans="1:8" x14ac:dyDescent="0.25">
      <c r="A23">
        <v>31</v>
      </c>
      <c r="B23" s="17">
        <v>44777</v>
      </c>
      <c r="C23" s="18">
        <v>0.70202546296296298</v>
      </c>
      <c r="D23">
        <v>1506332</v>
      </c>
      <c r="E23" t="s">
        <v>895</v>
      </c>
      <c r="F23" t="s">
        <v>749</v>
      </c>
      <c r="G23">
        <v>1</v>
      </c>
      <c r="H23" t="s">
        <v>754</v>
      </c>
    </row>
    <row r="24" spans="1:8" x14ac:dyDescent="0.25">
      <c r="A24">
        <v>41</v>
      </c>
      <c r="B24" s="17">
        <v>44774</v>
      </c>
      <c r="C24" s="18">
        <v>0.39664351851851848</v>
      </c>
      <c r="D24">
        <v>2693133</v>
      </c>
      <c r="E24" t="s">
        <v>708</v>
      </c>
      <c r="F24" t="s">
        <v>749</v>
      </c>
      <c r="G24">
        <v>1</v>
      </c>
      <c r="H24" t="s">
        <v>754</v>
      </c>
    </row>
    <row r="25" spans="1:8" x14ac:dyDescent="0.25">
      <c r="A25">
        <v>41</v>
      </c>
      <c r="B25" s="17">
        <v>44774</v>
      </c>
      <c r="C25" s="18">
        <v>0.50739583333333338</v>
      </c>
      <c r="D25">
        <v>2693228</v>
      </c>
      <c r="E25" t="s">
        <v>708</v>
      </c>
      <c r="F25" t="s">
        <v>749</v>
      </c>
      <c r="G25">
        <v>1</v>
      </c>
      <c r="H25" t="s">
        <v>754</v>
      </c>
    </row>
    <row r="26" spans="1:8" x14ac:dyDescent="0.25">
      <c r="A26">
        <v>41</v>
      </c>
      <c r="B26" s="17">
        <v>44774</v>
      </c>
      <c r="C26" s="18">
        <v>0.63237268518518519</v>
      </c>
      <c r="D26">
        <v>2693352</v>
      </c>
      <c r="E26" t="s">
        <v>715</v>
      </c>
      <c r="F26" t="s">
        <v>749</v>
      </c>
      <c r="G26">
        <v>1</v>
      </c>
      <c r="H26" t="s">
        <v>754</v>
      </c>
    </row>
    <row r="27" spans="1:8" x14ac:dyDescent="0.25">
      <c r="A27">
        <v>41</v>
      </c>
      <c r="B27" s="17">
        <v>44774</v>
      </c>
      <c r="C27" s="18">
        <v>0.74311342592592589</v>
      </c>
      <c r="D27">
        <v>2693430</v>
      </c>
      <c r="E27" t="s">
        <v>708</v>
      </c>
      <c r="F27" t="s">
        <v>749</v>
      </c>
      <c r="G27">
        <v>1</v>
      </c>
      <c r="H27" t="s">
        <v>754</v>
      </c>
    </row>
    <row r="28" spans="1:8" x14ac:dyDescent="0.25">
      <c r="A28">
        <v>41</v>
      </c>
      <c r="B28" s="17">
        <v>44774</v>
      </c>
      <c r="C28" s="18">
        <v>0.76937500000000003</v>
      </c>
      <c r="D28">
        <v>2693455</v>
      </c>
      <c r="E28" t="s">
        <v>708</v>
      </c>
      <c r="F28" t="s">
        <v>749</v>
      </c>
      <c r="G28">
        <v>1</v>
      </c>
      <c r="H28" t="s">
        <v>754</v>
      </c>
    </row>
    <row r="29" spans="1:8" x14ac:dyDescent="0.25">
      <c r="A29">
        <v>41</v>
      </c>
      <c r="B29" s="17">
        <v>44774</v>
      </c>
      <c r="C29" s="18">
        <v>0.78619212962962959</v>
      </c>
      <c r="D29">
        <v>2693468</v>
      </c>
      <c r="E29" t="s">
        <v>708</v>
      </c>
      <c r="F29" t="s">
        <v>749</v>
      </c>
      <c r="G29">
        <v>1</v>
      </c>
      <c r="H29" t="s">
        <v>754</v>
      </c>
    </row>
    <row r="30" spans="1:8" x14ac:dyDescent="0.25">
      <c r="A30">
        <v>41</v>
      </c>
      <c r="B30" s="17">
        <v>44774</v>
      </c>
      <c r="C30" s="18">
        <v>0.7876967592592593</v>
      </c>
      <c r="D30">
        <v>2693470</v>
      </c>
      <c r="E30" t="s">
        <v>708</v>
      </c>
      <c r="F30" t="s">
        <v>749</v>
      </c>
      <c r="G30">
        <v>1</v>
      </c>
      <c r="H30" t="s">
        <v>754</v>
      </c>
    </row>
    <row r="31" spans="1:8" x14ac:dyDescent="0.25">
      <c r="A31">
        <v>41</v>
      </c>
      <c r="B31" s="17">
        <v>44775</v>
      </c>
      <c r="C31" s="18">
        <v>0.38726851851851851</v>
      </c>
      <c r="D31">
        <v>2693696</v>
      </c>
      <c r="E31" t="s">
        <v>708</v>
      </c>
      <c r="F31" t="s">
        <v>749</v>
      </c>
      <c r="G31">
        <v>1</v>
      </c>
      <c r="H31" t="s">
        <v>754</v>
      </c>
    </row>
    <row r="32" spans="1:8" x14ac:dyDescent="0.25">
      <c r="A32">
        <v>41</v>
      </c>
      <c r="B32" s="17">
        <v>44775</v>
      </c>
      <c r="C32" s="18">
        <v>0.5087962962962963</v>
      </c>
      <c r="D32">
        <v>2693775</v>
      </c>
      <c r="E32" t="s">
        <v>708</v>
      </c>
      <c r="F32" t="s">
        <v>749</v>
      </c>
      <c r="G32">
        <v>1</v>
      </c>
      <c r="H32" t="s">
        <v>754</v>
      </c>
    </row>
    <row r="33" spans="1:8" x14ac:dyDescent="0.25">
      <c r="A33">
        <v>41</v>
      </c>
      <c r="B33" s="17">
        <v>44775</v>
      </c>
      <c r="C33" s="18">
        <v>0.51087962962962963</v>
      </c>
      <c r="D33">
        <v>2693778</v>
      </c>
      <c r="E33" t="s">
        <v>708</v>
      </c>
      <c r="F33" t="s">
        <v>749</v>
      </c>
      <c r="G33">
        <v>1</v>
      </c>
      <c r="H33" t="s">
        <v>754</v>
      </c>
    </row>
    <row r="34" spans="1:8" x14ac:dyDescent="0.25">
      <c r="A34">
        <v>41</v>
      </c>
      <c r="B34" s="17">
        <v>44775</v>
      </c>
      <c r="C34" s="18">
        <v>0.57186342592592598</v>
      </c>
      <c r="D34">
        <v>2693823</v>
      </c>
      <c r="E34" t="s">
        <v>708</v>
      </c>
      <c r="F34" t="s">
        <v>749</v>
      </c>
      <c r="G34">
        <v>1</v>
      </c>
      <c r="H34" t="s">
        <v>754</v>
      </c>
    </row>
    <row r="35" spans="1:8" x14ac:dyDescent="0.25">
      <c r="A35">
        <v>41</v>
      </c>
      <c r="B35" s="17">
        <v>44775</v>
      </c>
      <c r="C35" s="18">
        <v>0.57357638888888884</v>
      </c>
      <c r="D35">
        <v>2693824</v>
      </c>
      <c r="E35" t="s">
        <v>708</v>
      </c>
      <c r="F35" t="s">
        <v>749</v>
      </c>
      <c r="G35">
        <v>1</v>
      </c>
      <c r="H35" t="s">
        <v>754</v>
      </c>
    </row>
    <row r="36" spans="1:8" x14ac:dyDescent="0.25">
      <c r="A36">
        <v>41</v>
      </c>
      <c r="B36" s="17">
        <v>44775</v>
      </c>
      <c r="C36" s="18">
        <v>0.61563657407407402</v>
      </c>
      <c r="D36">
        <v>2693866</v>
      </c>
      <c r="E36" t="s">
        <v>708</v>
      </c>
      <c r="F36" t="s">
        <v>749</v>
      </c>
      <c r="G36">
        <v>1</v>
      </c>
      <c r="H36" t="s">
        <v>754</v>
      </c>
    </row>
    <row r="37" spans="1:8" x14ac:dyDescent="0.25">
      <c r="A37">
        <v>41</v>
      </c>
      <c r="B37" s="17">
        <v>44775</v>
      </c>
      <c r="C37" s="18">
        <v>0.75343749999999998</v>
      </c>
      <c r="D37">
        <v>2693961</v>
      </c>
      <c r="E37" t="s">
        <v>708</v>
      </c>
      <c r="F37" t="s">
        <v>749</v>
      </c>
      <c r="G37">
        <v>1</v>
      </c>
      <c r="H37" t="s">
        <v>754</v>
      </c>
    </row>
    <row r="38" spans="1:8" x14ac:dyDescent="0.25">
      <c r="A38">
        <v>41</v>
      </c>
      <c r="B38" s="17">
        <v>44775</v>
      </c>
      <c r="C38" s="18">
        <v>0.78187499999999999</v>
      </c>
      <c r="D38">
        <v>2693983</v>
      </c>
      <c r="E38" t="s">
        <v>710</v>
      </c>
      <c r="F38" t="s">
        <v>749</v>
      </c>
      <c r="G38">
        <v>1</v>
      </c>
    </row>
    <row r="39" spans="1:8" x14ac:dyDescent="0.25">
      <c r="A39">
        <v>41</v>
      </c>
      <c r="B39" s="17">
        <v>44776</v>
      </c>
      <c r="C39" s="18">
        <v>0.46271990740740737</v>
      </c>
      <c r="D39">
        <v>2694227</v>
      </c>
      <c r="E39" t="s">
        <v>896</v>
      </c>
      <c r="F39" t="s">
        <v>749</v>
      </c>
      <c r="G39">
        <v>1</v>
      </c>
      <c r="H39" t="s">
        <v>754</v>
      </c>
    </row>
    <row r="40" spans="1:8" x14ac:dyDescent="0.25">
      <c r="A40">
        <v>41</v>
      </c>
      <c r="B40" s="17">
        <v>44776</v>
      </c>
      <c r="C40" s="18">
        <v>0.60256944444444438</v>
      </c>
      <c r="D40">
        <v>2694333</v>
      </c>
      <c r="E40" t="s">
        <v>896</v>
      </c>
      <c r="F40" t="s">
        <v>749</v>
      </c>
      <c r="G40">
        <v>1</v>
      </c>
      <c r="H40" t="s">
        <v>754</v>
      </c>
    </row>
    <row r="41" spans="1:8" x14ac:dyDescent="0.25">
      <c r="A41">
        <v>41</v>
      </c>
      <c r="B41" s="17">
        <v>44776</v>
      </c>
      <c r="C41" s="18">
        <v>0.7718518518518519</v>
      </c>
      <c r="D41">
        <v>2694439</v>
      </c>
      <c r="E41" t="s">
        <v>896</v>
      </c>
      <c r="F41" t="s">
        <v>749</v>
      </c>
      <c r="G41">
        <v>1</v>
      </c>
      <c r="H41" t="s">
        <v>754</v>
      </c>
    </row>
    <row r="42" spans="1:8" x14ac:dyDescent="0.25">
      <c r="A42">
        <v>41</v>
      </c>
      <c r="B42" s="17">
        <v>44777</v>
      </c>
      <c r="C42" s="18">
        <v>0.37927083333333328</v>
      </c>
      <c r="D42">
        <v>2694656</v>
      </c>
      <c r="E42" t="s">
        <v>708</v>
      </c>
      <c r="F42" t="s">
        <v>749</v>
      </c>
      <c r="G42">
        <v>1</v>
      </c>
      <c r="H42" t="s">
        <v>754</v>
      </c>
    </row>
    <row r="43" spans="1:8" x14ac:dyDescent="0.25">
      <c r="A43">
        <v>41</v>
      </c>
      <c r="B43" s="17">
        <v>44777</v>
      </c>
      <c r="C43" s="18">
        <v>0.37973379629629633</v>
      </c>
      <c r="D43">
        <v>2694657</v>
      </c>
      <c r="E43" t="s">
        <v>708</v>
      </c>
      <c r="F43" t="s">
        <v>749</v>
      </c>
      <c r="G43">
        <v>1</v>
      </c>
      <c r="H43" t="s">
        <v>754</v>
      </c>
    </row>
    <row r="44" spans="1:8" x14ac:dyDescent="0.25">
      <c r="A44">
        <v>51</v>
      </c>
      <c r="B44" s="17">
        <v>44776</v>
      </c>
      <c r="C44" s="18">
        <v>0.46607638888888886</v>
      </c>
      <c r="D44">
        <v>1459319</v>
      </c>
      <c r="E44" t="s">
        <v>897</v>
      </c>
      <c r="F44" t="s">
        <v>749</v>
      </c>
      <c r="G44">
        <v>1</v>
      </c>
      <c r="H44" t="s">
        <v>754</v>
      </c>
    </row>
    <row r="45" spans="1:8" x14ac:dyDescent="0.25">
      <c r="A45">
        <v>51</v>
      </c>
      <c r="B45" s="17">
        <v>44776</v>
      </c>
      <c r="C45" s="18">
        <v>0.62706018518518525</v>
      </c>
      <c r="D45">
        <v>1459439</v>
      </c>
      <c r="E45" t="s">
        <v>897</v>
      </c>
      <c r="F45" t="s">
        <v>749</v>
      </c>
      <c r="G45">
        <v>1</v>
      </c>
      <c r="H45" t="s">
        <v>754</v>
      </c>
    </row>
    <row r="46" spans="1:8" x14ac:dyDescent="0.25">
      <c r="A46">
        <v>51</v>
      </c>
      <c r="B46" s="17">
        <v>44777</v>
      </c>
      <c r="C46" s="18">
        <v>0.59560185185185188</v>
      </c>
      <c r="D46">
        <v>1459866</v>
      </c>
      <c r="E46" t="s">
        <v>711</v>
      </c>
      <c r="F46" t="s">
        <v>749</v>
      </c>
      <c r="G46">
        <v>1</v>
      </c>
      <c r="H46" t="s">
        <v>754</v>
      </c>
    </row>
    <row r="47" spans="1:8" x14ac:dyDescent="0.25">
      <c r="A47">
        <v>51</v>
      </c>
      <c r="B47" s="17">
        <v>44777</v>
      </c>
      <c r="C47" s="18">
        <v>0.74741898148148145</v>
      </c>
      <c r="D47">
        <v>1459927</v>
      </c>
      <c r="E47" t="s">
        <v>897</v>
      </c>
      <c r="F47" t="s">
        <v>749</v>
      </c>
      <c r="G47">
        <v>1</v>
      </c>
      <c r="H47" t="s">
        <v>754</v>
      </c>
    </row>
    <row r="48" spans="1:8" x14ac:dyDescent="0.25">
      <c r="A48">
        <v>51</v>
      </c>
      <c r="B48" s="17">
        <v>44777</v>
      </c>
      <c r="C48" s="18">
        <v>0.75810185185185175</v>
      </c>
      <c r="D48">
        <v>1459932</v>
      </c>
      <c r="E48" t="s">
        <v>897</v>
      </c>
      <c r="F48" t="s">
        <v>749</v>
      </c>
      <c r="G48">
        <v>1</v>
      </c>
      <c r="H48" t="s">
        <v>754</v>
      </c>
    </row>
    <row r="49" spans="1:8" x14ac:dyDescent="0.25">
      <c r="A49">
        <v>51</v>
      </c>
      <c r="B49" s="17">
        <v>44777</v>
      </c>
      <c r="C49" s="18">
        <v>0.76929398148148154</v>
      </c>
      <c r="D49">
        <v>1459943</v>
      </c>
      <c r="E49" t="s">
        <v>897</v>
      </c>
      <c r="F49" t="s">
        <v>749</v>
      </c>
      <c r="G49">
        <v>1</v>
      </c>
      <c r="H49" t="s">
        <v>754</v>
      </c>
    </row>
    <row r="50" spans="1:8" x14ac:dyDescent="0.25">
      <c r="A50">
        <v>51</v>
      </c>
      <c r="B50" s="17">
        <v>44777</v>
      </c>
      <c r="C50" s="18">
        <v>0.83199074074074064</v>
      </c>
      <c r="D50">
        <v>1459973</v>
      </c>
      <c r="E50" t="s">
        <v>897</v>
      </c>
      <c r="F50" t="s">
        <v>749</v>
      </c>
      <c r="G50">
        <v>1</v>
      </c>
      <c r="H50" t="s">
        <v>754</v>
      </c>
    </row>
    <row r="51" spans="1:8" x14ac:dyDescent="0.25">
      <c r="A51">
        <v>51</v>
      </c>
      <c r="B51" s="17">
        <v>44777</v>
      </c>
      <c r="C51" s="18">
        <v>0.83542824074074085</v>
      </c>
      <c r="D51">
        <v>1459977</v>
      </c>
      <c r="E51" t="s">
        <v>897</v>
      </c>
      <c r="F51" t="s">
        <v>749</v>
      </c>
      <c r="G51">
        <v>1</v>
      </c>
      <c r="H51" t="s">
        <v>754</v>
      </c>
    </row>
    <row r="52" spans="1:8" x14ac:dyDescent="0.25">
      <c r="A52">
        <v>51</v>
      </c>
      <c r="B52" s="17">
        <v>44777</v>
      </c>
      <c r="C52" s="18">
        <v>0.87696759259259249</v>
      </c>
      <c r="D52">
        <v>1460014</v>
      </c>
      <c r="E52" t="s">
        <v>897</v>
      </c>
      <c r="F52" t="s">
        <v>749</v>
      </c>
      <c r="G52">
        <v>1</v>
      </c>
      <c r="H52" t="s">
        <v>754</v>
      </c>
    </row>
    <row r="53" spans="1:8" x14ac:dyDescent="0.25">
      <c r="A53">
        <v>51</v>
      </c>
      <c r="B53" s="17">
        <v>44777</v>
      </c>
      <c r="C53" s="18">
        <v>0.895625</v>
      </c>
      <c r="D53">
        <v>1460029</v>
      </c>
      <c r="E53" t="s">
        <v>722</v>
      </c>
      <c r="F53" t="s">
        <v>749</v>
      </c>
      <c r="G53">
        <v>1</v>
      </c>
      <c r="H53" t="s">
        <v>754</v>
      </c>
    </row>
    <row r="54" spans="1:8" x14ac:dyDescent="0.25">
      <c r="A54">
        <v>61</v>
      </c>
      <c r="B54" s="17">
        <v>44774</v>
      </c>
      <c r="C54" s="18">
        <v>0.71689814814814812</v>
      </c>
      <c r="D54">
        <v>1543586</v>
      </c>
      <c r="E54" t="s">
        <v>714</v>
      </c>
      <c r="F54" t="s">
        <v>749</v>
      </c>
      <c r="G54">
        <v>1</v>
      </c>
      <c r="H54" t="s">
        <v>754</v>
      </c>
    </row>
    <row r="55" spans="1:8" x14ac:dyDescent="0.25">
      <c r="A55">
        <v>61</v>
      </c>
      <c r="B55" s="17">
        <v>44775</v>
      </c>
      <c r="C55" s="18">
        <v>0.66387731481481482</v>
      </c>
      <c r="D55">
        <v>1543866</v>
      </c>
      <c r="E55" t="s">
        <v>714</v>
      </c>
      <c r="F55" t="s">
        <v>749</v>
      </c>
      <c r="G55">
        <v>1</v>
      </c>
      <c r="H55" t="s">
        <v>754</v>
      </c>
    </row>
    <row r="56" spans="1:8" x14ac:dyDescent="0.25">
      <c r="A56">
        <v>61</v>
      </c>
      <c r="B56" s="17">
        <v>44777</v>
      </c>
      <c r="C56" s="18">
        <v>0.76069444444444445</v>
      </c>
      <c r="D56">
        <v>1544581</v>
      </c>
      <c r="E56" t="s">
        <v>714</v>
      </c>
      <c r="F56" t="s">
        <v>749</v>
      </c>
      <c r="G56">
        <v>1</v>
      </c>
      <c r="H56" t="s">
        <v>754</v>
      </c>
    </row>
    <row r="57" spans="1:8" x14ac:dyDescent="0.25">
      <c r="A57">
        <v>61</v>
      </c>
      <c r="B57" s="17">
        <v>44777</v>
      </c>
      <c r="C57" s="18">
        <v>0.85633101851851856</v>
      </c>
      <c r="D57">
        <v>1544623</v>
      </c>
      <c r="E57" t="s">
        <v>898</v>
      </c>
      <c r="F57" t="s">
        <v>749</v>
      </c>
      <c r="G57">
        <v>1</v>
      </c>
      <c r="H57" t="s">
        <v>754</v>
      </c>
    </row>
    <row r="58" spans="1:8" x14ac:dyDescent="0.25">
      <c r="A58">
        <v>61</v>
      </c>
      <c r="B58" s="17">
        <v>44777</v>
      </c>
      <c r="C58" s="18">
        <v>0.91800925925925936</v>
      </c>
      <c r="D58">
        <v>1544659</v>
      </c>
      <c r="E58" t="s">
        <v>898</v>
      </c>
      <c r="F58" t="s">
        <v>749</v>
      </c>
      <c r="G58">
        <v>1</v>
      </c>
      <c r="H58" t="s">
        <v>754</v>
      </c>
    </row>
    <row r="59" spans="1:8" x14ac:dyDescent="0.25">
      <c r="A59">
        <v>71</v>
      </c>
      <c r="B59" s="17">
        <v>44774</v>
      </c>
      <c r="C59" s="18">
        <v>0.37035879629629626</v>
      </c>
      <c r="D59">
        <v>1638756</v>
      </c>
      <c r="E59" t="s">
        <v>716</v>
      </c>
      <c r="F59" t="s">
        <v>749</v>
      </c>
      <c r="G59">
        <v>1</v>
      </c>
      <c r="H59" t="s">
        <v>754</v>
      </c>
    </row>
    <row r="60" spans="1:8" x14ac:dyDescent="0.25">
      <c r="A60">
        <v>71</v>
      </c>
      <c r="B60" s="17">
        <v>44774</v>
      </c>
      <c r="C60" s="18">
        <v>0.56269675925925922</v>
      </c>
      <c r="D60">
        <v>1638842</v>
      </c>
      <c r="E60" t="s">
        <v>716</v>
      </c>
      <c r="F60" t="s">
        <v>749</v>
      </c>
      <c r="G60">
        <v>1</v>
      </c>
      <c r="H60" t="s">
        <v>754</v>
      </c>
    </row>
    <row r="61" spans="1:8" x14ac:dyDescent="0.25">
      <c r="A61">
        <v>71</v>
      </c>
      <c r="B61" s="17">
        <v>44775</v>
      </c>
      <c r="C61" s="18">
        <v>0.46003472222222225</v>
      </c>
      <c r="D61">
        <v>1639153</v>
      </c>
      <c r="E61" t="s">
        <v>716</v>
      </c>
      <c r="F61" t="s">
        <v>749</v>
      </c>
      <c r="G61">
        <v>1</v>
      </c>
      <c r="H61" t="s">
        <v>754</v>
      </c>
    </row>
    <row r="62" spans="1:8" x14ac:dyDescent="0.25">
      <c r="A62">
        <v>71</v>
      </c>
      <c r="B62" s="17">
        <v>44775</v>
      </c>
      <c r="C62" s="18">
        <v>0.46770833333333334</v>
      </c>
      <c r="D62">
        <v>1639157</v>
      </c>
      <c r="E62" t="s">
        <v>716</v>
      </c>
      <c r="F62" t="s">
        <v>749</v>
      </c>
      <c r="G62">
        <v>1</v>
      </c>
      <c r="H62" t="s">
        <v>754</v>
      </c>
    </row>
    <row r="63" spans="1:8" x14ac:dyDescent="0.25">
      <c r="A63">
        <v>71</v>
      </c>
      <c r="B63" s="17">
        <v>44775</v>
      </c>
      <c r="C63" s="18">
        <v>0.56732638888888887</v>
      </c>
      <c r="D63">
        <v>1639194</v>
      </c>
      <c r="E63" t="s">
        <v>716</v>
      </c>
      <c r="F63" t="s">
        <v>749</v>
      </c>
      <c r="G63">
        <v>1</v>
      </c>
    </row>
    <row r="64" spans="1:8" x14ac:dyDescent="0.25">
      <c r="A64">
        <v>71</v>
      </c>
      <c r="B64" s="17">
        <v>44776</v>
      </c>
      <c r="C64" s="18">
        <v>0.78353009259259254</v>
      </c>
      <c r="D64">
        <v>1639623</v>
      </c>
      <c r="E64" t="s">
        <v>899</v>
      </c>
      <c r="F64" t="s">
        <v>749</v>
      </c>
      <c r="G64">
        <v>1</v>
      </c>
      <c r="H64" t="s">
        <v>754</v>
      </c>
    </row>
    <row r="65" spans="1:8" x14ac:dyDescent="0.25">
      <c r="A65">
        <v>71</v>
      </c>
      <c r="B65" s="17">
        <v>44776</v>
      </c>
      <c r="C65" s="18">
        <v>0.85525462962962961</v>
      </c>
      <c r="D65">
        <v>1639660</v>
      </c>
      <c r="E65" t="s">
        <v>899</v>
      </c>
      <c r="F65" t="s">
        <v>749</v>
      </c>
      <c r="G65">
        <v>1</v>
      </c>
      <c r="H65" t="s">
        <v>754</v>
      </c>
    </row>
    <row r="66" spans="1:8" x14ac:dyDescent="0.25">
      <c r="A66">
        <v>71</v>
      </c>
      <c r="B66" s="17">
        <v>44776</v>
      </c>
      <c r="C66" s="18">
        <v>0.93267361111111102</v>
      </c>
      <c r="D66">
        <v>1639710</v>
      </c>
      <c r="E66" t="s">
        <v>899</v>
      </c>
      <c r="F66" t="s">
        <v>749</v>
      </c>
      <c r="G66">
        <v>1</v>
      </c>
      <c r="H66" t="s">
        <v>754</v>
      </c>
    </row>
    <row r="67" spans="1:8" x14ac:dyDescent="0.25">
      <c r="A67">
        <v>71</v>
      </c>
      <c r="B67" s="17">
        <v>44777</v>
      </c>
      <c r="C67" s="18">
        <v>0.47438657407407409</v>
      </c>
      <c r="D67">
        <v>1639863</v>
      </c>
      <c r="E67" t="s">
        <v>716</v>
      </c>
      <c r="F67" t="s">
        <v>749</v>
      </c>
      <c r="G67">
        <v>1</v>
      </c>
      <c r="H67" t="s">
        <v>754</v>
      </c>
    </row>
    <row r="68" spans="1:8" x14ac:dyDescent="0.25">
      <c r="A68">
        <v>71</v>
      </c>
      <c r="B68" s="17">
        <v>44777</v>
      </c>
      <c r="C68" s="18">
        <v>0.68225694444444451</v>
      </c>
      <c r="D68">
        <v>1639960</v>
      </c>
      <c r="E68" t="s">
        <v>716</v>
      </c>
      <c r="F68" t="s">
        <v>749</v>
      </c>
      <c r="G68">
        <v>1</v>
      </c>
      <c r="H68" t="s">
        <v>754</v>
      </c>
    </row>
    <row r="69" spans="1:8" x14ac:dyDescent="0.25">
      <c r="A69">
        <v>71</v>
      </c>
      <c r="B69" s="17">
        <v>44777</v>
      </c>
      <c r="C69" s="18">
        <v>0.82255787037037031</v>
      </c>
      <c r="D69">
        <v>1640009</v>
      </c>
      <c r="E69" t="s">
        <v>899</v>
      </c>
      <c r="F69" t="s">
        <v>749</v>
      </c>
      <c r="G69">
        <v>1</v>
      </c>
      <c r="H69" t="s">
        <v>754</v>
      </c>
    </row>
    <row r="70" spans="1:8" x14ac:dyDescent="0.25">
      <c r="A70">
        <v>71</v>
      </c>
      <c r="B70" s="17">
        <v>44777</v>
      </c>
      <c r="C70" s="18">
        <v>0.82547453703703699</v>
      </c>
      <c r="D70">
        <v>1640014</v>
      </c>
      <c r="E70" t="s">
        <v>899</v>
      </c>
      <c r="F70" t="s">
        <v>749</v>
      </c>
      <c r="G70">
        <v>1</v>
      </c>
      <c r="H70" t="s">
        <v>754</v>
      </c>
    </row>
    <row r="71" spans="1:8" x14ac:dyDescent="0.25">
      <c r="A71">
        <v>71</v>
      </c>
      <c r="B71" s="17">
        <v>44777</v>
      </c>
      <c r="C71" s="18">
        <v>0.82715277777777774</v>
      </c>
      <c r="D71">
        <v>1640015</v>
      </c>
      <c r="E71" t="s">
        <v>899</v>
      </c>
      <c r="F71" t="s">
        <v>749</v>
      </c>
      <c r="G71">
        <v>1</v>
      </c>
      <c r="H71" t="s">
        <v>754</v>
      </c>
    </row>
    <row r="72" spans="1:8" x14ac:dyDescent="0.25">
      <c r="A72">
        <v>81</v>
      </c>
      <c r="B72" s="17">
        <v>44774</v>
      </c>
      <c r="C72" s="18">
        <v>0.359375</v>
      </c>
      <c r="D72">
        <v>1468276</v>
      </c>
      <c r="E72" t="s">
        <v>717</v>
      </c>
      <c r="F72" t="s">
        <v>749</v>
      </c>
      <c r="G72">
        <v>1</v>
      </c>
      <c r="H72" t="s">
        <v>754</v>
      </c>
    </row>
    <row r="73" spans="1:8" x14ac:dyDescent="0.25">
      <c r="A73">
        <v>81</v>
      </c>
      <c r="B73" s="17">
        <v>44774</v>
      </c>
      <c r="C73" s="18">
        <v>0.36657407407407411</v>
      </c>
      <c r="D73">
        <v>1468280</v>
      </c>
      <c r="E73" t="s">
        <v>717</v>
      </c>
      <c r="F73" t="s">
        <v>749</v>
      </c>
      <c r="G73">
        <v>1</v>
      </c>
      <c r="H73" t="s">
        <v>754</v>
      </c>
    </row>
    <row r="74" spans="1:8" x14ac:dyDescent="0.25">
      <c r="A74">
        <v>81</v>
      </c>
      <c r="B74" s="17">
        <v>44774</v>
      </c>
      <c r="C74" s="18">
        <v>0.48868055555555556</v>
      </c>
      <c r="D74">
        <v>1468312</v>
      </c>
      <c r="E74" t="s">
        <v>717</v>
      </c>
      <c r="F74" t="s">
        <v>749</v>
      </c>
      <c r="G74">
        <v>1</v>
      </c>
      <c r="H74" t="s">
        <v>754</v>
      </c>
    </row>
    <row r="75" spans="1:8" x14ac:dyDescent="0.25">
      <c r="A75">
        <v>81</v>
      </c>
      <c r="B75" s="17">
        <v>44774</v>
      </c>
      <c r="C75" s="18">
        <v>0.67535879629629625</v>
      </c>
      <c r="D75">
        <v>1468387</v>
      </c>
      <c r="E75" t="s">
        <v>717</v>
      </c>
      <c r="F75" t="s">
        <v>749</v>
      </c>
      <c r="G75">
        <v>1</v>
      </c>
      <c r="H75" t="s">
        <v>754</v>
      </c>
    </row>
    <row r="76" spans="1:8" x14ac:dyDescent="0.25">
      <c r="A76">
        <v>81</v>
      </c>
      <c r="B76" s="17">
        <v>44775</v>
      </c>
      <c r="C76" s="18">
        <v>0.42800925925925926</v>
      </c>
      <c r="D76">
        <v>1468569</v>
      </c>
      <c r="E76" t="s">
        <v>717</v>
      </c>
      <c r="F76" t="s">
        <v>749</v>
      </c>
      <c r="G76">
        <v>1</v>
      </c>
      <c r="H76" t="s">
        <v>754</v>
      </c>
    </row>
    <row r="77" spans="1:8" x14ac:dyDescent="0.25">
      <c r="A77">
        <v>81</v>
      </c>
      <c r="B77" s="17">
        <v>44775</v>
      </c>
      <c r="C77" s="18">
        <v>0.57203703703703701</v>
      </c>
      <c r="D77">
        <v>1468614</v>
      </c>
      <c r="E77" t="s">
        <v>717</v>
      </c>
      <c r="F77" t="s">
        <v>749</v>
      </c>
      <c r="G77">
        <v>1</v>
      </c>
      <c r="H77" t="s">
        <v>754</v>
      </c>
    </row>
    <row r="78" spans="1:8" x14ac:dyDescent="0.25">
      <c r="A78">
        <v>81</v>
      </c>
      <c r="B78" s="17">
        <v>44775</v>
      </c>
      <c r="C78" s="18">
        <v>0.74674768518518519</v>
      </c>
      <c r="D78">
        <v>1468694</v>
      </c>
      <c r="E78" t="s">
        <v>717</v>
      </c>
      <c r="F78" t="s">
        <v>749</v>
      </c>
      <c r="G78">
        <v>1</v>
      </c>
      <c r="H78" t="s">
        <v>754</v>
      </c>
    </row>
    <row r="79" spans="1:8" x14ac:dyDescent="0.25">
      <c r="A79">
        <v>81</v>
      </c>
      <c r="B79" s="17">
        <v>44775</v>
      </c>
      <c r="C79" s="18">
        <v>0.748113425925926</v>
      </c>
      <c r="D79">
        <v>1468696</v>
      </c>
      <c r="E79" t="s">
        <v>717</v>
      </c>
      <c r="F79" t="s">
        <v>749</v>
      </c>
      <c r="G79">
        <v>1</v>
      </c>
    </row>
    <row r="80" spans="1:8" x14ac:dyDescent="0.25">
      <c r="A80">
        <v>81</v>
      </c>
      <c r="B80" s="17">
        <v>44776</v>
      </c>
      <c r="C80" s="18">
        <v>0.42072916666666665</v>
      </c>
      <c r="D80">
        <v>1468874</v>
      </c>
      <c r="E80" t="s">
        <v>900</v>
      </c>
      <c r="F80" t="s">
        <v>749</v>
      </c>
      <c r="G80">
        <v>1</v>
      </c>
      <c r="H80" t="s">
        <v>754</v>
      </c>
    </row>
    <row r="81" spans="1:8" x14ac:dyDescent="0.25">
      <c r="A81">
        <v>81</v>
      </c>
      <c r="B81" s="17">
        <v>44776</v>
      </c>
      <c r="C81" s="18">
        <v>0.82990740740740743</v>
      </c>
      <c r="D81">
        <v>1469038</v>
      </c>
      <c r="E81" t="s">
        <v>718</v>
      </c>
      <c r="F81" t="s">
        <v>749</v>
      </c>
      <c r="G81">
        <v>1</v>
      </c>
      <c r="H81" t="s">
        <v>754</v>
      </c>
    </row>
    <row r="82" spans="1:8" x14ac:dyDescent="0.25">
      <c r="A82">
        <v>81</v>
      </c>
      <c r="B82" s="17">
        <v>44776</v>
      </c>
      <c r="C82" s="18">
        <v>0.91467592592592595</v>
      </c>
      <c r="D82">
        <v>1469083</v>
      </c>
      <c r="E82" t="s">
        <v>718</v>
      </c>
      <c r="F82" t="s">
        <v>749</v>
      </c>
      <c r="G82">
        <v>1</v>
      </c>
      <c r="H82" t="s">
        <v>754</v>
      </c>
    </row>
    <row r="83" spans="1:8" x14ac:dyDescent="0.25">
      <c r="A83">
        <v>81</v>
      </c>
      <c r="B83" s="17">
        <v>44777</v>
      </c>
      <c r="C83" s="18">
        <v>0.32453703703703701</v>
      </c>
      <c r="D83">
        <v>1469148</v>
      </c>
      <c r="E83" t="s">
        <v>718</v>
      </c>
      <c r="F83" t="s">
        <v>749</v>
      </c>
      <c r="G83">
        <v>1</v>
      </c>
      <c r="H83" t="s">
        <v>754</v>
      </c>
    </row>
    <row r="84" spans="1:8" x14ac:dyDescent="0.25">
      <c r="A84">
        <v>81</v>
      </c>
      <c r="B84" s="17">
        <v>44777</v>
      </c>
      <c r="C84" s="18">
        <v>0.39019675925925923</v>
      </c>
      <c r="D84">
        <v>1469158</v>
      </c>
      <c r="E84" t="s">
        <v>900</v>
      </c>
      <c r="F84" t="s">
        <v>749</v>
      </c>
      <c r="G84">
        <v>1</v>
      </c>
      <c r="H84" t="s">
        <v>754</v>
      </c>
    </row>
    <row r="85" spans="1:8" x14ac:dyDescent="0.25">
      <c r="A85">
        <v>81</v>
      </c>
      <c r="B85" s="17">
        <v>44777</v>
      </c>
      <c r="C85" s="18">
        <v>0.39157407407407407</v>
      </c>
      <c r="D85">
        <v>1469159</v>
      </c>
      <c r="E85" t="s">
        <v>900</v>
      </c>
      <c r="F85" t="s">
        <v>749</v>
      </c>
      <c r="G85">
        <v>1</v>
      </c>
      <c r="H85" t="s">
        <v>754</v>
      </c>
    </row>
    <row r="86" spans="1:8" x14ac:dyDescent="0.25">
      <c r="A86">
        <v>81</v>
      </c>
      <c r="B86" s="17">
        <v>44777</v>
      </c>
      <c r="C86" s="18">
        <v>0.39292824074074079</v>
      </c>
      <c r="D86">
        <v>1469160</v>
      </c>
      <c r="E86" t="s">
        <v>900</v>
      </c>
      <c r="F86" t="s">
        <v>749</v>
      </c>
      <c r="G86">
        <v>1</v>
      </c>
      <c r="H86" t="s">
        <v>754</v>
      </c>
    </row>
    <row r="87" spans="1:8" x14ac:dyDescent="0.25">
      <c r="A87">
        <v>81</v>
      </c>
      <c r="B87" s="17">
        <v>44777</v>
      </c>
      <c r="C87" s="18">
        <v>0.50090277777777781</v>
      </c>
      <c r="D87">
        <v>1469189</v>
      </c>
      <c r="E87" t="s">
        <v>900</v>
      </c>
      <c r="F87" t="s">
        <v>749</v>
      </c>
      <c r="G87">
        <v>1</v>
      </c>
      <c r="H87" t="s">
        <v>754</v>
      </c>
    </row>
    <row r="88" spans="1:8" x14ac:dyDescent="0.25">
      <c r="A88">
        <v>81</v>
      </c>
      <c r="B88" s="17">
        <v>44777</v>
      </c>
      <c r="C88" s="18">
        <v>0.50565972222222222</v>
      </c>
      <c r="D88">
        <v>1469190</v>
      </c>
      <c r="E88" t="s">
        <v>900</v>
      </c>
      <c r="F88" t="s">
        <v>749</v>
      </c>
      <c r="G88">
        <v>1</v>
      </c>
      <c r="H88" t="s">
        <v>754</v>
      </c>
    </row>
    <row r="89" spans="1:8" x14ac:dyDescent="0.25">
      <c r="A89">
        <v>81</v>
      </c>
      <c r="B89" s="17">
        <v>44777</v>
      </c>
      <c r="C89" s="18">
        <v>0.72256944444444438</v>
      </c>
      <c r="D89">
        <v>1469271</v>
      </c>
      <c r="E89" t="s">
        <v>900</v>
      </c>
      <c r="F89" t="s">
        <v>749</v>
      </c>
      <c r="G89">
        <v>1</v>
      </c>
      <c r="H89" t="s">
        <v>754</v>
      </c>
    </row>
    <row r="90" spans="1:8" x14ac:dyDescent="0.25">
      <c r="A90">
        <v>81</v>
      </c>
      <c r="B90" s="17">
        <v>44777</v>
      </c>
      <c r="C90" s="18">
        <v>0.72365740740740747</v>
      </c>
      <c r="D90">
        <v>1469272</v>
      </c>
      <c r="E90" t="s">
        <v>900</v>
      </c>
      <c r="F90" t="s">
        <v>749</v>
      </c>
      <c r="G90">
        <v>1</v>
      </c>
      <c r="H90" t="s">
        <v>754</v>
      </c>
    </row>
    <row r="91" spans="1:8" x14ac:dyDescent="0.25">
      <c r="A91">
        <v>81</v>
      </c>
      <c r="B91" s="17">
        <v>44777</v>
      </c>
      <c r="C91" s="18">
        <v>0.72585648148148152</v>
      </c>
      <c r="D91">
        <v>1469274</v>
      </c>
      <c r="E91" t="s">
        <v>900</v>
      </c>
      <c r="F91" t="s">
        <v>749</v>
      </c>
      <c r="G91">
        <v>1</v>
      </c>
      <c r="H91" t="s">
        <v>754</v>
      </c>
    </row>
    <row r="92" spans="1:8" x14ac:dyDescent="0.25">
      <c r="A92">
        <v>81</v>
      </c>
      <c r="B92" s="17">
        <v>44777</v>
      </c>
      <c r="C92" s="18">
        <v>0.74420138888888887</v>
      </c>
      <c r="D92">
        <v>1469284</v>
      </c>
      <c r="E92" t="s">
        <v>900</v>
      </c>
      <c r="F92" t="s">
        <v>749</v>
      </c>
      <c r="G92">
        <v>1</v>
      </c>
      <c r="H92" t="s">
        <v>754</v>
      </c>
    </row>
    <row r="93" spans="1:8" x14ac:dyDescent="0.25">
      <c r="A93">
        <v>81</v>
      </c>
      <c r="B93" s="17">
        <v>44777</v>
      </c>
      <c r="C93" s="18">
        <v>0.84791666666666676</v>
      </c>
      <c r="D93">
        <v>1469350</v>
      </c>
      <c r="E93" t="s">
        <v>718</v>
      </c>
      <c r="F93" t="s">
        <v>749</v>
      </c>
      <c r="G93">
        <v>1</v>
      </c>
      <c r="H93" t="s">
        <v>754</v>
      </c>
    </row>
    <row r="94" spans="1:8" x14ac:dyDescent="0.25">
      <c r="A94">
        <v>81</v>
      </c>
      <c r="B94" s="17">
        <v>44777</v>
      </c>
      <c r="C94" s="18">
        <v>0.86680555555555561</v>
      </c>
      <c r="D94">
        <v>1469364</v>
      </c>
      <c r="E94" t="s">
        <v>718</v>
      </c>
      <c r="F94" t="s">
        <v>749</v>
      </c>
      <c r="G94">
        <v>1</v>
      </c>
      <c r="H94" t="s">
        <v>754</v>
      </c>
    </row>
    <row r="95" spans="1:8" x14ac:dyDescent="0.25">
      <c r="A95">
        <v>91</v>
      </c>
      <c r="B95" s="17">
        <v>44774</v>
      </c>
      <c r="C95" s="18">
        <v>0.44003472222222223</v>
      </c>
      <c r="D95">
        <v>1081554</v>
      </c>
      <c r="E95" t="s">
        <v>719</v>
      </c>
      <c r="F95" t="s">
        <v>749</v>
      </c>
      <c r="G95">
        <v>1</v>
      </c>
      <c r="H95" t="s">
        <v>754</v>
      </c>
    </row>
    <row r="96" spans="1:8" x14ac:dyDescent="0.25">
      <c r="A96">
        <v>91</v>
      </c>
      <c r="B96" s="17">
        <v>44774</v>
      </c>
      <c r="C96" s="18">
        <v>0.44152777777777774</v>
      </c>
      <c r="D96">
        <v>1081555</v>
      </c>
      <c r="E96" t="s">
        <v>719</v>
      </c>
      <c r="F96" t="s">
        <v>749</v>
      </c>
      <c r="G96">
        <v>1</v>
      </c>
      <c r="H96" t="s">
        <v>754</v>
      </c>
    </row>
    <row r="97" spans="1:8" x14ac:dyDescent="0.25">
      <c r="A97">
        <v>91</v>
      </c>
      <c r="B97" s="17">
        <v>44774</v>
      </c>
      <c r="C97" s="18">
        <v>0.90226851851851853</v>
      </c>
      <c r="D97">
        <v>1081734</v>
      </c>
      <c r="E97" t="s">
        <v>720</v>
      </c>
      <c r="F97" t="s">
        <v>749</v>
      </c>
      <c r="G97">
        <v>1</v>
      </c>
      <c r="H97" t="s">
        <v>754</v>
      </c>
    </row>
    <row r="98" spans="1:8" x14ac:dyDescent="0.25">
      <c r="A98">
        <v>91</v>
      </c>
      <c r="B98" s="17">
        <v>44775</v>
      </c>
      <c r="C98" s="18">
        <v>0.6182523148148148</v>
      </c>
      <c r="D98">
        <v>1081926</v>
      </c>
      <c r="E98" t="s">
        <v>719</v>
      </c>
      <c r="F98" t="s">
        <v>749</v>
      </c>
      <c r="G98">
        <v>1</v>
      </c>
      <c r="H98" t="s">
        <v>754</v>
      </c>
    </row>
    <row r="99" spans="1:8" x14ac:dyDescent="0.25">
      <c r="A99">
        <v>91</v>
      </c>
      <c r="B99" s="17">
        <v>44775</v>
      </c>
      <c r="C99" s="18">
        <v>0.80483796296296306</v>
      </c>
      <c r="D99">
        <v>1081978</v>
      </c>
      <c r="E99" t="s">
        <v>720</v>
      </c>
      <c r="F99" t="s">
        <v>749</v>
      </c>
      <c r="G99">
        <v>1</v>
      </c>
      <c r="H99" t="s">
        <v>754</v>
      </c>
    </row>
    <row r="100" spans="1:8" x14ac:dyDescent="0.25">
      <c r="A100">
        <v>91</v>
      </c>
      <c r="B100" s="17">
        <v>44775</v>
      </c>
      <c r="C100" s="18">
        <v>0.89217592592592598</v>
      </c>
      <c r="D100">
        <v>1082007</v>
      </c>
      <c r="E100" t="s">
        <v>720</v>
      </c>
      <c r="F100" t="s">
        <v>749</v>
      </c>
      <c r="G100">
        <v>1</v>
      </c>
      <c r="H100" t="s">
        <v>754</v>
      </c>
    </row>
    <row r="101" spans="1:8" x14ac:dyDescent="0.25">
      <c r="A101">
        <v>91</v>
      </c>
      <c r="B101" s="17">
        <v>44775</v>
      </c>
      <c r="C101" s="18">
        <v>0.89348379629629626</v>
      </c>
      <c r="D101">
        <v>1082008</v>
      </c>
      <c r="E101" t="s">
        <v>720</v>
      </c>
      <c r="F101" t="s">
        <v>749</v>
      </c>
      <c r="G101">
        <v>1</v>
      </c>
      <c r="H101" t="s">
        <v>754</v>
      </c>
    </row>
    <row r="102" spans="1:8" x14ac:dyDescent="0.25">
      <c r="A102">
        <v>91</v>
      </c>
      <c r="B102" s="17">
        <v>44775</v>
      </c>
      <c r="C102" s="18">
        <v>0.89518518518518519</v>
      </c>
      <c r="D102">
        <v>1082009</v>
      </c>
      <c r="E102" t="s">
        <v>720</v>
      </c>
      <c r="F102" t="s">
        <v>749</v>
      </c>
      <c r="G102">
        <v>1</v>
      </c>
      <c r="H102" t="s">
        <v>754</v>
      </c>
    </row>
    <row r="103" spans="1:8" x14ac:dyDescent="0.25">
      <c r="A103">
        <v>91</v>
      </c>
      <c r="B103" s="17">
        <v>44776</v>
      </c>
      <c r="C103" s="18">
        <v>0.35501157407407408</v>
      </c>
      <c r="D103">
        <v>1082137</v>
      </c>
      <c r="E103" t="s">
        <v>719</v>
      </c>
      <c r="F103" t="s">
        <v>749</v>
      </c>
      <c r="G103">
        <v>1</v>
      </c>
      <c r="H103" t="s">
        <v>754</v>
      </c>
    </row>
    <row r="104" spans="1:8" x14ac:dyDescent="0.25">
      <c r="A104">
        <v>91</v>
      </c>
      <c r="B104" s="17">
        <v>44776</v>
      </c>
      <c r="C104" s="18">
        <v>0.58302083333333332</v>
      </c>
      <c r="D104">
        <v>1082200</v>
      </c>
      <c r="E104" t="s">
        <v>719</v>
      </c>
      <c r="F104" t="s">
        <v>749</v>
      </c>
      <c r="G104">
        <v>1</v>
      </c>
      <c r="H104" t="s">
        <v>754</v>
      </c>
    </row>
    <row r="105" spans="1:8" x14ac:dyDescent="0.25">
      <c r="A105">
        <v>91</v>
      </c>
      <c r="B105" s="17">
        <v>44776</v>
      </c>
      <c r="C105" s="18">
        <v>0.60347222222222219</v>
      </c>
      <c r="D105">
        <v>1082214</v>
      </c>
      <c r="E105" t="s">
        <v>719</v>
      </c>
      <c r="F105" t="s">
        <v>749</v>
      </c>
      <c r="G105">
        <v>1</v>
      </c>
      <c r="H105" t="s">
        <v>754</v>
      </c>
    </row>
    <row r="106" spans="1:8" x14ac:dyDescent="0.25">
      <c r="A106">
        <v>91</v>
      </c>
      <c r="B106" s="17">
        <v>44776</v>
      </c>
      <c r="C106" s="18">
        <v>0.70975694444444448</v>
      </c>
      <c r="D106">
        <v>1082256</v>
      </c>
      <c r="E106" t="s">
        <v>719</v>
      </c>
      <c r="F106" t="s">
        <v>749</v>
      </c>
      <c r="G106">
        <v>1</v>
      </c>
      <c r="H106" t="s">
        <v>754</v>
      </c>
    </row>
    <row r="107" spans="1:8" x14ac:dyDescent="0.25">
      <c r="A107">
        <v>91</v>
      </c>
      <c r="B107" s="17">
        <v>44777</v>
      </c>
      <c r="C107" s="18">
        <v>0.30394675925925924</v>
      </c>
      <c r="D107">
        <v>1082430</v>
      </c>
      <c r="E107" t="s">
        <v>719</v>
      </c>
      <c r="F107" t="s">
        <v>749</v>
      </c>
      <c r="G107">
        <v>1</v>
      </c>
      <c r="H107" t="s">
        <v>754</v>
      </c>
    </row>
    <row r="108" spans="1:8" x14ac:dyDescent="0.25">
      <c r="A108">
        <v>91</v>
      </c>
      <c r="B108" s="17">
        <v>44777</v>
      </c>
      <c r="C108" s="18">
        <v>0.35656249999999995</v>
      </c>
      <c r="D108">
        <v>1082445</v>
      </c>
      <c r="E108" t="s">
        <v>719</v>
      </c>
      <c r="F108" t="s">
        <v>749</v>
      </c>
      <c r="G108">
        <v>1</v>
      </c>
      <c r="H108" t="s">
        <v>754</v>
      </c>
    </row>
    <row r="109" spans="1:8" x14ac:dyDescent="0.25">
      <c r="A109">
        <v>91</v>
      </c>
      <c r="B109" s="17">
        <v>44777</v>
      </c>
      <c r="C109" s="18">
        <v>0.38383101851851853</v>
      </c>
      <c r="D109">
        <v>1082447</v>
      </c>
      <c r="E109" t="s">
        <v>719</v>
      </c>
      <c r="F109" t="s">
        <v>749</v>
      </c>
      <c r="G109">
        <v>1</v>
      </c>
      <c r="H109" t="s">
        <v>754</v>
      </c>
    </row>
    <row r="110" spans="1:8" x14ac:dyDescent="0.25">
      <c r="A110">
        <v>91</v>
      </c>
      <c r="B110" s="17">
        <v>44777</v>
      </c>
      <c r="C110" s="18">
        <v>0.68482638888888892</v>
      </c>
      <c r="D110">
        <v>1082530</v>
      </c>
      <c r="E110" t="s">
        <v>719</v>
      </c>
      <c r="F110" t="s">
        <v>749</v>
      </c>
      <c r="G110">
        <v>1</v>
      </c>
      <c r="H110" t="s">
        <v>754</v>
      </c>
    </row>
    <row r="111" spans="1:8" x14ac:dyDescent="0.25">
      <c r="A111">
        <v>91</v>
      </c>
      <c r="B111" s="17">
        <v>44777</v>
      </c>
      <c r="C111" s="18">
        <v>0.68585648148148148</v>
      </c>
      <c r="D111">
        <v>1082531</v>
      </c>
      <c r="E111" t="s">
        <v>719</v>
      </c>
      <c r="F111" t="s">
        <v>749</v>
      </c>
      <c r="G111">
        <v>1</v>
      </c>
      <c r="H111" t="s">
        <v>754</v>
      </c>
    </row>
    <row r="112" spans="1:8" x14ac:dyDescent="0.25">
      <c r="A112">
        <v>91</v>
      </c>
      <c r="B112" s="17">
        <v>44777</v>
      </c>
      <c r="C112" s="18">
        <v>0.72486111111111118</v>
      </c>
      <c r="D112">
        <v>1082543</v>
      </c>
      <c r="E112" t="s">
        <v>901</v>
      </c>
      <c r="F112" t="s">
        <v>749</v>
      </c>
      <c r="G112">
        <v>1</v>
      </c>
      <c r="H112" t="s">
        <v>754</v>
      </c>
    </row>
    <row r="113" spans="1:8" x14ac:dyDescent="0.25">
      <c r="A113">
        <v>91</v>
      </c>
      <c r="B113" s="17">
        <v>44777</v>
      </c>
      <c r="C113" s="18">
        <v>0.77501157407407406</v>
      </c>
      <c r="D113">
        <v>1082560</v>
      </c>
      <c r="E113" t="s">
        <v>720</v>
      </c>
      <c r="F113" t="s">
        <v>749</v>
      </c>
      <c r="G113">
        <v>1</v>
      </c>
      <c r="H113" t="s">
        <v>754</v>
      </c>
    </row>
    <row r="114" spans="1:8" x14ac:dyDescent="0.25">
      <c r="A114">
        <v>91</v>
      </c>
      <c r="B114" s="17">
        <v>44777</v>
      </c>
      <c r="C114" s="18">
        <v>0.77725694444444438</v>
      </c>
      <c r="D114">
        <v>1082561</v>
      </c>
      <c r="E114" t="s">
        <v>720</v>
      </c>
      <c r="F114" t="s">
        <v>749</v>
      </c>
      <c r="G114">
        <v>1</v>
      </c>
      <c r="H114" t="s">
        <v>754</v>
      </c>
    </row>
    <row r="115" spans="1:8" x14ac:dyDescent="0.25">
      <c r="A115">
        <v>91</v>
      </c>
      <c r="B115" s="17">
        <v>44777</v>
      </c>
      <c r="C115" s="18">
        <v>0.78798611111111105</v>
      </c>
      <c r="D115">
        <v>1082568</v>
      </c>
      <c r="E115" t="s">
        <v>720</v>
      </c>
      <c r="F115" t="s">
        <v>749</v>
      </c>
      <c r="G115">
        <v>1</v>
      </c>
      <c r="H115" t="s">
        <v>754</v>
      </c>
    </row>
    <row r="116" spans="1:8" x14ac:dyDescent="0.25">
      <c r="A116">
        <v>91</v>
      </c>
      <c r="B116" s="17">
        <v>44777</v>
      </c>
      <c r="C116" s="18">
        <v>0.78979166666666656</v>
      </c>
      <c r="D116">
        <v>1082569</v>
      </c>
      <c r="E116" t="s">
        <v>720</v>
      </c>
      <c r="F116" t="s">
        <v>749</v>
      </c>
      <c r="G116">
        <v>1</v>
      </c>
      <c r="H116" t="s">
        <v>754</v>
      </c>
    </row>
    <row r="117" spans="1:8" x14ac:dyDescent="0.25">
      <c r="A117">
        <v>91</v>
      </c>
      <c r="B117" s="17">
        <v>44777</v>
      </c>
      <c r="C117" s="18">
        <v>0.79182870370370362</v>
      </c>
      <c r="D117">
        <v>1082570</v>
      </c>
      <c r="E117" t="s">
        <v>720</v>
      </c>
      <c r="F117" t="s">
        <v>749</v>
      </c>
      <c r="G117">
        <v>1</v>
      </c>
      <c r="H117" t="s">
        <v>754</v>
      </c>
    </row>
    <row r="118" spans="1:8" x14ac:dyDescent="0.25">
      <c r="A118">
        <v>91</v>
      </c>
      <c r="B118" s="17">
        <v>44777</v>
      </c>
      <c r="C118" s="18">
        <v>0.88351851851851848</v>
      </c>
      <c r="D118">
        <v>1082620</v>
      </c>
      <c r="E118" t="s">
        <v>720</v>
      </c>
      <c r="F118" t="s">
        <v>749</v>
      </c>
      <c r="G118">
        <v>1</v>
      </c>
      <c r="H118" t="s">
        <v>754</v>
      </c>
    </row>
    <row r="119" spans="1:8" x14ac:dyDescent="0.25">
      <c r="A119">
        <v>91</v>
      </c>
      <c r="B119" s="17">
        <v>44777</v>
      </c>
      <c r="C119" s="18">
        <v>0.89356481481481476</v>
      </c>
      <c r="D119">
        <v>1082628</v>
      </c>
      <c r="E119" t="s">
        <v>720</v>
      </c>
      <c r="F119" t="s">
        <v>749</v>
      </c>
      <c r="G119">
        <v>1</v>
      </c>
      <c r="H119" t="s">
        <v>754</v>
      </c>
    </row>
    <row r="120" spans="1:8" x14ac:dyDescent="0.25">
      <c r="A120">
        <v>91</v>
      </c>
      <c r="B120" s="17">
        <v>44777</v>
      </c>
      <c r="C120" s="18">
        <v>0.90524305555555562</v>
      </c>
      <c r="D120">
        <v>1082630</v>
      </c>
      <c r="E120" t="s">
        <v>720</v>
      </c>
      <c r="F120" t="s">
        <v>749</v>
      </c>
      <c r="G120">
        <v>1</v>
      </c>
      <c r="H120" t="s">
        <v>754</v>
      </c>
    </row>
    <row r="121" spans="1:8" x14ac:dyDescent="0.25">
      <c r="A121">
        <v>91</v>
      </c>
      <c r="B121" s="17">
        <v>44777</v>
      </c>
      <c r="C121" s="18">
        <v>0.90666666666666673</v>
      </c>
      <c r="D121">
        <v>1082631</v>
      </c>
      <c r="E121" t="s">
        <v>720</v>
      </c>
      <c r="F121" t="s">
        <v>749</v>
      </c>
      <c r="G121">
        <v>1</v>
      </c>
      <c r="H121" t="s">
        <v>754</v>
      </c>
    </row>
    <row r="122" spans="1:8" x14ac:dyDescent="0.25">
      <c r="A122">
        <v>91</v>
      </c>
      <c r="B122" s="17">
        <v>44777</v>
      </c>
      <c r="C122" s="18">
        <v>0.91108796296296291</v>
      </c>
      <c r="D122">
        <v>1082636</v>
      </c>
      <c r="E122" t="s">
        <v>720</v>
      </c>
      <c r="F122" t="s">
        <v>749</v>
      </c>
      <c r="G122">
        <v>1</v>
      </c>
      <c r="H122" t="s">
        <v>754</v>
      </c>
    </row>
    <row r="123" spans="1:8" x14ac:dyDescent="0.25">
      <c r="A123">
        <v>91</v>
      </c>
      <c r="B123" s="17">
        <v>44777</v>
      </c>
      <c r="C123" s="18">
        <v>0.92216435185185175</v>
      </c>
      <c r="D123">
        <v>1082643</v>
      </c>
      <c r="E123" t="s">
        <v>720</v>
      </c>
      <c r="F123" t="s">
        <v>749</v>
      </c>
      <c r="G123">
        <v>1</v>
      </c>
      <c r="H123" t="s">
        <v>754</v>
      </c>
    </row>
    <row r="124" spans="1:8" x14ac:dyDescent="0.25">
      <c r="A124">
        <v>91</v>
      </c>
      <c r="B124" s="17">
        <v>44777</v>
      </c>
      <c r="C124" s="18">
        <v>0.95528935185185182</v>
      </c>
      <c r="D124">
        <v>1082665</v>
      </c>
      <c r="E124" t="s">
        <v>720</v>
      </c>
      <c r="F124" t="s">
        <v>749</v>
      </c>
      <c r="G124">
        <v>1</v>
      </c>
      <c r="H124" t="s">
        <v>754</v>
      </c>
    </row>
    <row r="125" spans="1:8" x14ac:dyDescent="0.25">
      <c r="A125">
        <v>101</v>
      </c>
      <c r="B125" s="17">
        <v>44774</v>
      </c>
      <c r="C125" s="18">
        <v>3.9224537037037037E-2</v>
      </c>
      <c r="D125">
        <v>2161803</v>
      </c>
      <c r="E125" t="s">
        <v>902</v>
      </c>
      <c r="F125" t="s">
        <v>749</v>
      </c>
      <c r="G125">
        <v>1</v>
      </c>
      <c r="H125" t="s">
        <v>754</v>
      </c>
    </row>
    <row r="126" spans="1:8" x14ac:dyDescent="0.25">
      <c r="A126">
        <v>101</v>
      </c>
      <c r="B126" s="17">
        <v>44774</v>
      </c>
      <c r="C126" s="18">
        <v>0.48282407407407407</v>
      </c>
      <c r="D126">
        <v>2161987</v>
      </c>
      <c r="E126" t="s">
        <v>721</v>
      </c>
      <c r="F126" t="s">
        <v>749</v>
      </c>
      <c r="G126">
        <v>1</v>
      </c>
      <c r="H126" t="s">
        <v>754</v>
      </c>
    </row>
    <row r="127" spans="1:8" x14ac:dyDescent="0.25">
      <c r="A127">
        <v>101</v>
      </c>
      <c r="B127" s="17">
        <v>44774</v>
      </c>
      <c r="C127" s="18">
        <v>0.5569560185185185</v>
      </c>
      <c r="D127">
        <v>2162037</v>
      </c>
      <c r="E127" t="s">
        <v>721</v>
      </c>
      <c r="F127" t="s">
        <v>749</v>
      </c>
      <c r="G127">
        <v>1</v>
      </c>
      <c r="H127" t="s">
        <v>754</v>
      </c>
    </row>
    <row r="128" spans="1:8" x14ac:dyDescent="0.25">
      <c r="A128">
        <v>101</v>
      </c>
      <c r="B128" s="17">
        <v>44775</v>
      </c>
      <c r="C128" s="18">
        <v>0.45659722222222227</v>
      </c>
      <c r="D128">
        <v>2162588</v>
      </c>
      <c r="E128" t="s">
        <v>721</v>
      </c>
      <c r="F128" t="s">
        <v>749</v>
      </c>
      <c r="G128">
        <v>1</v>
      </c>
      <c r="H128" t="s">
        <v>754</v>
      </c>
    </row>
    <row r="129" spans="1:8" x14ac:dyDescent="0.25">
      <c r="A129">
        <v>101</v>
      </c>
      <c r="B129" s="17">
        <v>44775</v>
      </c>
      <c r="C129" s="18">
        <v>0.63885416666666661</v>
      </c>
      <c r="D129">
        <v>2162732</v>
      </c>
      <c r="E129" t="s">
        <v>721</v>
      </c>
      <c r="F129" t="s">
        <v>749</v>
      </c>
      <c r="G129">
        <v>1</v>
      </c>
      <c r="H129" t="s">
        <v>754</v>
      </c>
    </row>
    <row r="130" spans="1:8" x14ac:dyDescent="0.25">
      <c r="A130">
        <v>101</v>
      </c>
      <c r="B130" s="17">
        <v>44776</v>
      </c>
      <c r="C130" s="18">
        <v>0.72636574074074067</v>
      </c>
      <c r="D130">
        <v>2163448</v>
      </c>
      <c r="E130" t="s">
        <v>902</v>
      </c>
      <c r="F130" t="s">
        <v>749</v>
      </c>
      <c r="G130">
        <v>1</v>
      </c>
      <c r="H130" t="s">
        <v>754</v>
      </c>
    </row>
    <row r="131" spans="1:8" x14ac:dyDescent="0.25">
      <c r="A131">
        <v>101</v>
      </c>
      <c r="B131" s="17">
        <v>44777</v>
      </c>
      <c r="C131" s="18">
        <v>0.78421296296296295</v>
      </c>
      <c r="D131">
        <v>2164166</v>
      </c>
      <c r="E131" t="s">
        <v>721</v>
      </c>
      <c r="F131" t="s">
        <v>749</v>
      </c>
      <c r="G131">
        <v>1</v>
      </c>
      <c r="H131" t="s">
        <v>754</v>
      </c>
    </row>
    <row r="132" spans="1:8" x14ac:dyDescent="0.25">
      <c r="A132">
        <v>101</v>
      </c>
      <c r="B132" s="17">
        <v>44777</v>
      </c>
      <c r="C132" s="18">
        <v>0.88678240740740744</v>
      </c>
      <c r="D132">
        <v>2164275</v>
      </c>
      <c r="E132" t="s">
        <v>721</v>
      </c>
      <c r="F132" t="s">
        <v>749</v>
      </c>
      <c r="G132">
        <v>1</v>
      </c>
      <c r="H132" t="s">
        <v>754</v>
      </c>
    </row>
    <row r="133" spans="1:8" x14ac:dyDescent="0.25">
      <c r="A133">
        <v>101</v>
      </c>
      <c r="B133" s="17">
        <v>44777</v>
      </c>
      <c r="C133" s="18">
        <v>0.96261574074074074</v>
      </c>
      <c r="D133">
        <v>2164353</v>
      </c>
      <c r="E133" t="s">
        <v>721</v>
      </c>
      <c r="F133" t="s">
        <v>749</v>
      </c>
      <c r="G133">
        <v>1</v>
      </c>
      <c r="H133" t="s">
        <v>754</v>
      </c>
    </row>
    <row r="134" spans="1:8" x14ac:dyDescent="0.25">
      <c r="A134">
        <v>111</v>
      </c>
      <c r="B134" s="17">
        <v>44774</v>
      </c>
      <c r="C134" s="18">
        <v>0.38050925925925921</v>
      </c>
      <c r="D134">
        <v>730690</v>
      </c>
      <c r="E134" t="s">
        <v>1465</v>
      </c>
      <c r="F134" t="s">
        <v>749</v>
      </c>
      <c r="G134">
        <v>1</v>
      </c>
      <c r="H134" t="s">
        <v>754</v>
      </c>
    </row>
    <row r="135" spans="1:8" x14ac:dyDescent="0.25">
      <c r="A135">
        <v>111</v>
      </c>
      <c r="B135" s="17">
        <v>44774</v>
      </c>
      <c r="C135" s="18">
        <v>0.7926157407407407</v>
      </c>
      <c r="D135">
        <v>730791</v>
      </c>
      <c r="E135" t="s">
        <v>1280</v>
      </c>
      <c r="F135" t="s">
        <v>749</v>
      </c>
      <c r="G135">
        <v>1</v>
      </c>
      <c r="H135" t="s">
        <v>754</v>
      </c>
    </row>
    <row r="136" spans="1:8" x14ac:dyDescent="0.25">
      <c r="A136">
        <v>111</v>
      </c>
      <c r="B136" s="17">
        <v>44775</v>
      </c>
      <c r="C136" s="18">
        <v>0.56498842592592591</v>
      </c>
      <c r="D136">
        <v>730911</v>
      </c>
      <c r="E136" t="s">
        <v>723</v>
      </c>
      <c r="F136" t="s">
        <v>749</v>
      </c>
      <c r="G136">
        <v>8</v>
      </c>
      <c r="H136" t="s">
        <v>754</v>
      </c>
    </row>
    <row r="137" spans="1:8" x14ac:dyDescent="0.25">
      <c r="A137">
        <v>111</v>
      </c>
      <c r="B137" s="17">
        <v>44775</v>
      </c>
      <c r="C137" s="18">
        <v>0.64415509259259263</v>
      </c>
      <c r="D137">
        <v>730921</v>
      </c>
      <c r="E137" t="s">
        <v>723</v>
      </c>
      <c r="F137" t="s">
        <v>749</v>
      </c>
      <c r="G137">
        <v>1</v>
      </c>
    </row>
    <row r="138" spans="1:8" x14ac:dyDescent="0.25">
      <c r="A138">
        <v>111</v>
      </c>
      <c r="B138" s="17">
        <v>44776</v>
      </c>
      <c r="C138" s="18">
        <v>0.55650462962962965</v>
      </c>
      <c r="D138">
        <v>731117</v>
      </c>
      <c r="E138" t="s">
        <v>723</v>
      </c>
      <c r="F138" t="s">
        <v>749</v>
      </c>
      <c r="G138">
        <v>1</v>
      </c>
      <c r="H138" t="s">
        <v>754</v>
      </c>
    </row>
    <row r="139" spans="1:8" x14ac:dyDescent="0.25">
      <c r="A139">
        <v>111</v>
      </c>
      <c r="B139" s="17">
        <v>44776</v>
      </c>
      <c r="C139" s="18">
        <v>0.90107638888888886</v>
      </c>
      <c r="D139">
        <v>731226</v>
      </c>
      <c r="E139" t="s">
        <v>1280</v>
      </c>
      <c r="F139" t="s">
        <v>749</v>
      </c>
      <c r="G139">
        <v>1</v>
      </c>
      <c r="H139" t="s">
        <v>754</v>
      </c>
    </row>
    <row r="140" spans="1:8" x14ac:dyDescent="0.25">
      <c r="A140">
        <v>111</v>
      </c>
      <c r="B140" s="17">
        <v>44777</v>
      </c>
      <c r="C140" s="18">
        <v>0.44458333333333333</v>
      </c>
      <c r="D140">
        <v>731316</v>
      </c>
      <c r="E140" t="s">
        <v>723</v>
      </c>
      <c r="F140" t="s">
        <v>749</v>
      </c>
      <c r="G140">
        <v>1</v>
      </c>
      <c r="H140" t="s">
        <v>754</v>
      </c>
    </row>
    <row r="141" spans="1:8" x14ac:dyDescent="0.25">
      <c r="A141">
        <v>111</v>
      </c>
      <c r="B141" s="17">
        <v>44777</v>
      </c>
      <c r="C141" s="18">
        <v>0.54401620370370374</v>
      </c>
      <c r="D141">
        <v>731335</v>
      </c>
      <c r="E141" t="s">
        <v>723</v>
      </c>
      <c r="F141" t="s">
        <v>749</v>
      </c>
      <c r="G141">
        <v>1</v>
      </c>
      <c r="H141" t="s">
        <v>754</v>
      </c>
    </row>
    <row r="142" spans="1:8" x14ac:dyDescent="0.25">
      <c r="A142">
        <v>111</v>
      </c>
      <c r="B142" s="17">
        <v>44777</v>
      </c>
      <c r="C142" s="18">
        <v>0.64944444444444438</v>
      </c>
      <c r="D142">
        <v>731359</v>
      </c>
      <c r="E142" t="s">
        <v>723</v>
      </c>
      <c r="F142" t="s">
        <v>749</v>
      </c>
      <c r="G142">
        <v>1</v>
      </c>
      <c r="H142" t="s">
        <v>754</v>
      </c>
    </row>
    <row r="143" spans="1:8" x14ac:dyDescent="0.25">
      <c r="A143">
        <v>111</v>
      </c>
      <c r="B143" s="17">
        <v>44777</v>
      </c>
      <c r="C143" s="18">
        <v>0.83182870370370365</v>
      </c>
      <c r="D143">
        <v>731405</v>
      </c>
      <c r="E143" t="s">
        <v>722</v>
      </c>
      <c r="F143" t="s">
        <v>749</v>
      </c>
      <c r="G143">
        <v>1</v>
      </c>
      <c r="H143" t="s">
        <v>754</v>
      </c>
    </row>
    <row r="144" spans="1:8" x14ac:dyDescent="0.25">
      <c r="A144">
        <v>111</v>
      </c>
      <c r="B144" s="17">
        <v>44777</v>
      </c>
      <c r="C144" s="18">
        <v>0.83656249999999999</v>
      </c>
      <c r="D144">
        <v>731409</v>
      </c>
      <c r="E144" t="s">
        <v>722</v>
      </c>
      <c r="F144" t="s">
        <v>749</v>
      </c>
      <c r="G144">
        <v>1</v>
      </c>
      <c r="H144" t="s">
        <v>754</v>
      </c>
    </row>
    <row r="145" spans="1:8" x14ac:dyDescent="0.25">
      <c r="A145">
        <v>111</v>
      </c>
      <c r="B145" s="17">
        <v>44777</v>
      </c>
      <c r="C145" s="18">
        <v>0.95086805555555554</v>
      </c>
      <c r="D145">
        <v>731445</v>
      </c>
      <c r="E145" t="s">
        <v>722</v>
      </c>
      <c r="F145" t="s">
        <v>749</v>
      </c>
      <c r="G145">
        <v>1</v>
      </c>
      <c r="H145" t="s">
        <v>754</v>
      </c>
    </row>
    <row r="146" spans="1:8" x14ac:dyDescent="0.25">
      <c r="A146">
        <v>121</v>
      </c>
      <c r="B146" s="17">
        <v>44774</v>
      </c>
      <c r="C146" s="18">
        <v>0.4952893518518518</v>
      </c>
      <c r="D146">
        <v>1126961</v>
      </c>
      <c r="E146" t="s">
        <v>724</v>
      </c>
      <c r="F146" t="s">
        <v>749</v>
      </c>
      <c r="G146">
        <v>1</v>
      </c>
      <c r="H146" t="s">
        <v>754</v>
      </c>
    </row>
    <row r="147" spans="1:8" x14ac:dyDescent="0.25">
      <c r="A147">
        <v>121</v>
      </c>
      <c r="B147" s="17">
        <v>44774</v>
      </c>
      <c r="C147" s="18">
        <v>0.58893518518518517</v>
      </c>
      <c r="D147">
        <v>1126999</v>
      </c>
      <c r="E147" t="s">
        <v>724</v>
      </c>
      <c r="F147" t="s">
        <v>749</v>
      </c>
      <c r="G147">
        <v>1</v>
      </c>
      <c r="H147" t="s">
        <v>754</v>
      </c>
    </row>
    <row r="148" spans="1:8" x14ac:dyDescent="0.25">
      <c r="A148">
        <v>121</v>
      </c>
      <c r="B148" s="17">
        <v>44775</v>
      </c>
      <c r="C148" s="18">
        <v>0.47613425925925923</v>
      </c>
      <c r="D148">
        <v>1127201</v>
      </c>
      <c r="E148" t="s">
        <v>724</v>
      </c>
      <c r="F148" t="s">
        <v>749</v>
      </c>
      <c r="G148">
        <v>1</v>
      </c>
      <c r="H148" t="s">
        <v>754</v>
      </c>
    </row>
    <row r="149" spans="1:8" x14ac:dyDescent="0.25">
      <c r="A149">
        <v>121</v>
      </c>
      <c r="B149" s="17">
        <v>44775</v>
      </c>
      <c r="C149" s="18">
        <v>0.75775462962962958</v>
      </c>
      <c r="D149">
        <v>1127280</v>
      </c>
      <c r="E149" t="s">
        <v>724</v>
      </c>
      <c r="F149" t="s">
        <v>749</v>
      </c>
      <c r="G149">
        <v>1</v>
      </c>
      <c r="H149" t="s">
        <v>754</v>
      </c>
    </row>
    <row r="150" spans="1:8" x14ac:dyDescent="0.25">
      <c r="A150">
        <v>121</v>
      </c>
      <c r="B150" s="17">
        <v>44775</v>
      </c>
      <c r="C150" s="18">
        <v>0.81087962962962967</v>
      </c>
      <c r="D150">
        <v>1127306</v>
      </c>
      <c r="E150" t="s">
        <v>725</v>
      </c>
      <c r="F150" t="s">
        <v>749</v>
      </c>
      <c r="G150">
        <v>1</v>
      </c>
      <c r="H150" t="s">
        <v>754</v>
      </c>
    </row>
    <row r="151" spans="1:8" x14ac:dyDescent="0.25">
      <c r="A151">
        <v>121</v>
      </c>
      <c r="B151" s="17">
        <v>44776</v>
      </c>
      <c r="C151" s="18">
        <v>0.37593750000000004</v>
      </c>
      <c r="D151">
        <v>1127442</v>
      </c>
      <c r="E151" t="s">
        <v>724</v>
      </c>
      <c r="F151" t="s">
        <v>749</v>
      </c>
      <c r="G151">
        <v>1</v>
      </c>
      <c r="H151" t="s">
        <v>754</v>
      </c>
    </row>
    <row r="152" spans="1:8" x14ac:dyDescent="0.25">
      <c r="A152">
        <v>121</v>
      </c>
      <c r="B152" s="17">
        <v>44776</v>
      </c>
      <c r="C152" s="18">
        <v>0.44135416666666666</v>
      </c>
      <c r="D152">
        <v>1127493</v>
      </c>
      <c r="E152" t="s">
        <v>724</v>
      </c>
      <c r="F152" t="s">
        <v>749</v>
      </c>
      <c r="G152">
        <v>1</v>
      </c>
      <c r="H152" t="s">
        <v>754</v>
      </c>
    </row>
    <row r="153" spans="1:8" x14ac:dyDescent="0.25">
      <c r="A153">
        <v>121</v>
      </c>
      <c r="B153" s="17">
        <v>44776</v>
      </c>
      <c r="C153" s="18">
        <v>0.49901620370370375</v>
      </c>
      <c r="D153">
        <v>1127539</v>
      </c>
      <c r="E153" t="s">
        <v>724</v>
      </c>
      <c r="F153" t="s">
        <v>749</v>
      </c>
      <c r="G153">
        <v>1</v>
      </c>
      <c r="H153" t="s">
        <v>754</v>
      </c>
    </row>
    <row r="154" spans="1:8" x14ac:dyDescent="0.25">
      <c r="A154">
        <v>121</v>
      </c>
      <c r="B154" s="17">
        <v>44776</v>
      </c>
      <c r="C154" s="18">
        <v>0.59203703703703703</v>
      </c>
      <c r="D154">
        <v>1127618</v>
      </c>
      <c r="E154" t="s">
        <v>724</v>
      </c>
      <c r="F154" t="s">
        <v>749</v>
      </c>
      <c r="G154">
        <v>1</v>
      </c>
      <c r="H154" t="s">
        <v>754</v>
      </c>
    </row>
    <row r="155" spans="1:8" x14ac:dyDescent="0.25">
      <c r="A155">
        <v>121</v>
      </c>
      <c r="B155" s="17">
        <v>44776</v>
      </c>
      <c r="C155" s="18">
        <v>0.63268518518518524</v>
      </c>
      <c r="D155">
        <v>1127649</v>
      </c>
      <c r="E155" t="s">
        <v>724</v>
      </c>
      <c r="F155" t="s">
        <v>749</v>
      </c>
      <c r="G155">
        <v>1</v>
      </c>
      <c r="H155" t="s">
        <v>754</v>
      </c>
    </row>
    <row r="156" spans="1:8" x14ac:dyDescent="0.25">
      <c r="A156">
        <v>121</v>
      </c>
      <c r="B156" s="17">
        <v>44777</v>
      </c>
      <c r="C156" s="18">
        <v>0.43626157407407407</v>
      </c>
      <c r="D156">
        <v>1127905</v>
      </c>
      <c r="E156" t="s">
        <v>724</v>
      </c>
      <c r="F156" t="s">
        <v>749</v>
      </c>
      <c r="G156">
        <v>1</v>
      </c>
      <c r="H156" t="s">
        <v>754</v>
      </c>
    </row>
    <row r="157" spans="1:8" x14ac:dyDescent="0.25">
      <c r="A157">
        <v>121</v>
      </c>
      <c r="B157" s="17">
        <v>44777</v>
      </c>
      <c r="C157" s="18">
        <v>0.45978009259259256</v>
      </c>
      <c r="D157">
        <v>1127909</v>
      </c>
      <c r="E157" t="s">
        <v>724</v>
      </c>
      <c r="F157" t="s">
        <v>749</v>
      </c>
      <c r="G157">
        <v>1</v>
      </c>
      <c r="H157" t="s">
        <v>754</v>
      </c>
    </row>
    <row r="158" spans="1:8" x14ac:dyDescent="0.25">
      <c r="A158">
        <v>121</v>
      </c>
      <c r="B158" s="17">
        <v>44777</v>
      </c>
      <c r="C158" s="18">
        <v>0.47319444444444447</v>
      </c>
      <c r="D158">
        <v>1127916</v>
      </c>
      <c r="E158" t="s">
        <v>724</v>
      </c>
      <c r="F158" t="s">
        <v>749</v>
      </c>
      <c r="G158">
        <v>1</v>
      </c>
      <c r="H158" t="s">
        <v>754</v>
      </c>
    </row>
    <row r="159" spans="1:8" x14ac:dyDescent="0.25">
      <c r="A159">
        <v>121</v>
      </c>
      <c r="B159" s="17">
        <v>44777</v>
      </c>
      <c r="C159" s="18">
        <v>0.5470949074074074</v>
      </c>
      <c r="D159">
        <v>1127947</v>
      </c>
      <c r="E159" t="s">
        <v>724</v>
      </c>
      <c r="F159" t="s">
        <v>749</v>
      </c>
      <c r="G159">
        <v>1</v>
      </c>
      <c r="H159" t="s">
        <v>754</v>
      </c>
    </row>
    <row r="160" spans="1:8" x14ac:dyDescent="0.25">
      <c r="A160">
        <v>121</v>
      </c>
      <c r="B160" s="17">
        <v>44777</v>
      </c>
      <c r="C160" s="18">
        <v>0.66918981481481488</v>
      </c>
      <c r="D160">
        <v>1128002</v>
      </c>
      <c r="E160" t="s">
        <v>724</v>
      </c>
      <c r="F160" t="s">
        <v>749</v>
      </c>
      <c r="G160">
        <v>1</v>
      </c>
      <c r="H160" t="s">
        <v>754</v>
      </c>
    </row>
    <row r="161" spans="1:8" x14ac:dyDescent="0.25">
      <c r="A161">
        <v>121</v>
      </c>
      <c r="B161" s="17">
        <v>44777</v>
      </c>
      <c r="C161" s="18">
        <v>0.73469907407407409</v>
      </c>
      <c r="D161">
        <v>1128022</v>
      </c>
      <c r="E161" t="s">
        <v>724</v>
      </c>
      <c r="F161" t="s">
        <v>749</v>
      </c>
      <c r="G161">
        <v>1</v>
      </c>
      <c r="H161" t="s">
        <v>754</v>
      </c>
    </row>
    <row r="162" spans="1:8" x14ac:dyDescent="0.25">
      <c r="A162">
        <v>121</v>
      </c>
      <c r="B162" s="17">
        <v>44777</v>
      </c>
      <c r="C162" s="18">
        <v>0.74483796296296301</v>
      </c>
      <c r="D162">
        <v>1128027</v>
      </c>
      <c r="E162" t="s">
        <v>724</v>
      </c>
      <c r="F162" t="s">
        <v>749</v>
      </c>
      <c r="G162">
        <v>1</v>
      </c>
      <c r="H162" t="s">
        <v>754</v>
      </c>
    </row>
    <row r="163" spans="1:8" x14ac:dyDescent="0.25">
      <c r="A163">
        <v>121</v>
      </c>
      <c r="B163" s="17">
        <v>44777</v>
      </c>
      <c r="C163" s="18">
        <v>0.74747685185185186</v>
      </c>
      <c r="D163">
        <v>1128028</v>
      </c>
      <c r="E163" t="s">
        <v>724</v>
      </c>
      <c r="F163" t="s">
        <v>749</v>
      </c>
      <c r="G163">
        <v>1</v>
      </c>
      <c r="H163" t="s">
        <v>754</v>
      </c>
    </row>
    <row r="164" spans="1:8" x14ac:dyDescent="0.25">
      <c r="A164">
        <v>121</v>
      </c>
      <c r="B164" s="17">
        <v>44777</v>
      </c>
      <c r="C164" s="18">
        <v>0.75033564814814813</v>
      </c>
      <c r="D164">
        <v>1128030</v>
      </c>
      <c r="E164" t="s">
        <v>724</v>
      </c>
      <c r="F164" t="s">
        <v>749</v>
      </c>
      <c r="G164">
        <v>1</v>
      </c>
      <c r="H164" t="s">
        <v>754</v>
      </c>
    </row>
    <row r="165" spans="1:8" x14ac:dyDescent="0.25">
      <c r="A165">
        <v>121</v>
      </c>
      <c r="B165" s="17">
        <v>44777</v>
      </c>
      <c r="C165" s="18">
        <v>0.76322916666666663</v>
      </c>
      <c r="D165">
        <v>1128035</v>
      </c>
      <c r="E165" t="s">
        <v>725</v>
      </c>
      <c r="F165" t="s">
        <v>749</v>
      </c>
      <c r="G165">
        <v>1</v>
      </c>
      <c r="H165" t="s">
        <v>754</v>
      </c>
    </row>
    <row r="166" spans="1:8" x14ac:dyDescent="0.25">
      <c r="A166">
        <v>121</v>
      </c>
      <c r="B166" s="17">
        <v>44777</v>
      </c>
      <c r="C166" s="18">
        <v>0.83098379629629626</v>
      </c>
      <c r="D166">
        <v>1128066</v>
      </c>
      <c r="E166" t="s">
        <v>725</v>
      </c>
      <c r="F166" t="s">
        <v>749</v>
      </c>
      <c r="G166">
        <v>1</v>
      </c>
      <c r="H166" t="s">
        <v>754</v>
      </c>
    </row>
    <row r="167" spans="1:8" x14ac:dyDescent="0.25">
      <c r="A167">
        <v>121</v>
      </c>
      <c r="B167" s="17">
        <v>44777</v>
      </c>
      <c r="C167" s="18">
        <v>0.85502314814814817</v>
      </c>
      <c r="D167">
        <v>1128078</v>
      </c>
      <c r="E167" t="s">
        <v>725</v>
      </c>
      <c r="F167" t="s">
        <v>749</v>
      </c>
      <c r="G167">
        <v>1</v>
      </c>
      <c r="H167" t="s">
        <v>754</v>
      </c>
    </row>
    <row r="168" spans="1:8" x14ac:dyDescent="0.25">
      <c r="A168">
        <v>121</v>
      </c>
      <c r="B168" s="17">
        <v>44777</v>
      </c>
      <c r="C168" s="18">
        <v>0.87291666666666667</v>
      </c>
      <c r="D168">
        <v>1128086</v>
      </c>
      <c r="E168" t="s">
        <v>725</v>
      </c>
      <c r="F168" t="s">
        <v>749</v>
      </c>
      <c r="G168">
        <v>1</v>
      </c>
      <c r="H168" t="s">
        <v>754</v>
      </c>
    </row>
    <row r="169" spans="1:8" x14ac:dyDescent="0.25">
      <c r="A169">
        <v>121</v>
      </c>
      <c r="B169" s="17">
        <v>44777</v>
      </c>
      <c r="C169" s="18">
        <v>0.87570601851851848</v>
      </c>
      <c r="D169">
        <v>1128087</v>
      </c>
      <c r="E169" t="s">
        <v>725</v>
      </c>
      <c r="F169" t="s">
        <v>749</v>
      </c>
      <c r="G169">
        <v>1</v>
      </c>
      <c r="H169" t="s">
        <v>754</v>
      </c>
    </row>
    <row r="170" spans="1:8" x14ac:dyDescent="0.25">
      <c r="A170">
        <v>121</v>
      </c>
      <c r="B170" s="17">
        <v>44777</v>
      </c>
      <c r="C170" s="18">
        <v>0.8970717592592593</v>
      </c>
      <c r="D170">
        <v>1128094</v>
      </c>
      <c r="E170" t="s">
        <v>725</v>
      </c>
      <c r="F170" t="s">
        <v>749</v>
      </c>
      <c r="G170">
        <v>1</v>
      </c>
      <c r="H170" t="s">
        <v>754</v>
      </c>
    </row>
    <row r="171" spans="1:8" x14ac:dyDescent="0.25">
      <c r="A171">
        <v>121</v>
      </c>
      <c r="B171" s="17">
        <v>44777</v>
      </c>
      <c r="C171" s="18">
        <v>0.90145833333333336</v>
      </c>
      <c r="D171">
        <v>1128095</v>
      </c>
      <c r="E171" t="s">
        <v>725</v>
      </c>
      <c r="F171" t="s">
        <v>749</v>
      </c>
      <c r="G171">
        <v>1</v>
      </c>
      <c r="H171" t="s">
        <v>754</v>
      </c>
    </row>
    <row r="172" spans="1:8" x14ac:dyDescent="0.25">
      <c r="A172">
        <v>121</v>
      </c>
      <c r="B172" s="17">
        <v>44777</v>
      </c>
      <c r="C172" s="18">
        <v>0.90726851851851853</v>
      </c>
      <c r="D172">
        <v>1128098</v>
      </c>
      <c r="E172" t="s">
        <v>725</v>
      </c>
      <c r="F172" t="s">
        <v>749</v>
      </c>
      <c r="G172">
        <v>1</v>
      </c>
      <c r="H172" t="s">
        <v>754</v>
      </c>
    </row>
    <row r="173" spans="1:8" x14ac:dyDescent="0.25">
      <c r="A173">
        <v>121</v>
      </c>
      <c r="B173" s="17">
        <v>44777</v>
      </c>
      <c r="C173" s="18">
        <v>0.91480324074074071</v>
      </c>
      <c r="D173">
        <v>1128103</v>
      </c>
      <c r="E173" t="s">
        <v>725</v>
      </c>
      <c r="F173" t="s">
        <v>749</v>
      </c>
      <c r="G173">
        <v>1</v>
      </c>
      <c r="H173" t="s">
        <v>754</v>
      </c>
    </row>
    <row r="174" spans="1:8" x14ac:dyDescent="0.25">
      <c r="A174">
        <v>121</v>
      </c>
      <c r="B174" s="17">
        <v>44777</v>
      </c>
      <c r="C174" s="18">
        <v>0.95550925925925922</v>
      </c>
      <c r="D174">
        <v>1128118</v>
      </c>
      <c r="E174" t="s">
        <v>725</v>
      </c>
      <c r="F174" t="s">
        <v>749</v>
      </c>
      <c r="G174">
        <v>1</v>
      </c>
      <c r="H174" t="s">
        <v>754</v>
      </c>
    </row>
    <row r="175" spans="1:8" x14ac:dyDescent="0.25">
      <c r="A175">
        <v>121</v>
      </c>
      <c r="B175" s="17">
        <v>44777</v>
      </c>
      <c r="C175" s="18">
        <v>0.95848379629629632</v>
      </c>
      <c r="D175">
        <v>1128119</v>
      </c>
      <c r="E175" t="s">
        <v>725</v>
      </c>
      <c r="F175" t="s">
        <v>749</v>
      </c>
      <c r="G175">
        <v>1</v>
      </c>
      <c r="H175" t="s">
        <v>754</v>
      </c>
    </row>
    <row r="176" spans="1:8" x14ac:dyDescent="0.25">
      <c r="A176">
        <v>131</v>
      </c>
      <c r="B176" s="17">
        <v>44774</v>
      </c>
      <c r="C176" s="18">
        <v>0.39468750000000002</v>
      </c>
      <c r="D176">
        <v>1691288</v>
      </c>
      <c r="E176" t="s">
        <v>726</v>
      </c>
      <c r="F176" t="s">
        <v>749</v>
      </c>
      <c r="G176">
        <v>1</v>
      </c>
      <c r="H176" t="s">
        <v>754</v>
      </c>
    </row>
    <row r="177" spans="1:8" x14ac:dyDescent="0.25">
      <c r="A177">
        <v>131</v>
      </c>
      <c r="B177" s="17">
        <v>44774</v>
      </c>
      <c r="C177" s="18">
        <v>0.39697916666666666</v>
      </c>
      <c r="D177">
        <v>1691290</v>
      </c>
      <c r="E177" t="s">
        <v>726</v>
      </c>
      <c r="F177" t="s">
        <v>749</v>
      </c>
      <c r="G177">
        <v>1</v>
      </c>
      <c r="H177" t="s">
        <v>754</v>
      </c>
    </row>
    <row r="178" spans="1:8" x14ac:dyDescent="0.25">
      <c r="A178">
        <v>131</v>
      </c>
      <c r="B178" s="17">
        <v>44774</v>
      </c>
      <c r="C178" s="18">
        <v>0.41502314814814811</v>
      </c>
      <c r="D178">
        <v>1691299</v>
      </c>
      <c r="E178" t="s">
        <v>726</v>
      </c>
      <c r="F178" t="s">
        <v>749</v>
      </c>
      <c r="G178">
        <v>1</v>
      </c>
      <c r="H178" t="s">
        <v>754</v>
      </c>
    </row>
    <row r="179" spans="1:8" x14ac:dyDescent="0.25">
      <c r="A179">
        <v>131</v>
      </c>
      <c r="B179" s="17">
        <v>44774</v>
      </c>
      <c r="C179" s="18">
        <v>0.41622685185185188</v>
      </c>
      <c r="D179">
        <v>1691300</v>
      </c>
      <c r="E179" t="s">
        <v>726</v>
      </c>
      <c r="F179" t="s">
        <v>749</v>
      </c>
      <c r="G179">
        <v>1</v>
      </c>
      <c r="H179" t="s">
        <v>754</v>
      </c>
    </row>
    <row r="180" spans="1:8" x14ac:dyDescent="0.25">
      <c r="A180">
        <v>131</v>
      </c>
      <c r="B180" s="17">
        <v>44774</v>
      </c>
      <c r="C180" s="18">
        <v>0.42319444444444443</v>
      </c>
      <c r="D180">
        <v>1691307</v>
      </c>
      <c r="E180" t="s">
        <v>726</v>
      </c>
      <c r="F180" t="s">
        <v>749</v>
      </c>
      <c r="G180">
        <v>1</v>
      </c>
      <c r="H180" t="s">
        <v>754</v>
      </c>
    </row>
    <row r="181" spans="1:8" x14ac:dyDescent="0.25">
      <c r="A181">
        <v>131</v>
      </c>
      <c r="B181" s="17">
        <v>44774</v>
      </c>
      <c r="C181" s="18">
        <v>0.55298611111111107</v>
      </c>
      <c r="D181">
        <v>1691403</v>
      </c>
      <c r="E181" t="s">
        <v>715</v>
      </c>
      <c r="F181" t="s">
        <v>749</v>
      </c>
      <c r="G181">
        <v>1</v>
      </c>
      <c r="H181" t="s">
        <v>754</v>
      </c>
    </row>
    <row r="182" spans="1:8" x14ac:dyDescent="0.25">
      <c r="A182">
        <v>131</v>
      </c>
      <c r="B182" s="17">
        <v>44774</v>
      </c>
      <c r="C182" s="18">
        <v>0.66855324074074074</v>
      </c>
      <c r="D182">
        <v>1691432</v>
      </c>
      <c r="E182" t="s">
        <v>726</v>
      </c>
      <c r="F182" t="s">
        <v>749</v>
      </c>
      <c r="G182">
        <v>1</v>
      </c>
      <c r="H182" t="s">
        <v>754</v>
      </c>
    </row>
    <row r="183" spans="1:8" x14ac:dyDescent="0.25">
      <c r="A183">
        <v>131</v>
      </c>
      <c r="B183" s="17">
        <v>44774</v>
      </c>
      <c r="C183" s="18">
        <v>0.76616898148148149</v>
      </c>
      <c r="D183">
        <v>1691506</v>
      </c>
      <c r="E183" t="s">
        <v>726</v>
      </c>
      <c r="F183" t="s">
        <v>749</v>
      </c>
      <c r="G183">
        <v>1</v>
      </c>
      <c r="H183" t="s">
        <v>754</v>
      </c>
    </row>
    <row r="184" spans="1:8" x14ac:dyDescent="0.25">
      <c r="A184">
        <v>131</v>
      </c>
      <c r="B184" s="17">
        <v>44775</v>
      </c>
      <c r="C184" s="18">
        <v>0.44643518518518516</v>
      </c>
      <c r="D184">
        <v>1691719</v>
      </c>
      <c r="E184" t="s">
        <v>726</v>
      </c>
      <c r="F184" t="s">
        <v>749</v>
      </c>
      <c r="G184">
        <v>1</v>
      </c>
      <c r="H184" t="s">
        <v>754</v>
      </c>
    </row>
    <row r="185" spans="1:8" x14ac:dyDescent="0.25">
      <c r="A185">
        <v>131</v>
      </c>
      <c r="B185" s="17">
        <v>44775</v>
      </c>
      <c r="C185" s="18">
        <v>0.75480324074074068</v>
      </c>
      <c r="D185">
        <v>1691906</v>
      </c>
      <c r="E185" t="s">
        <v>727</v>
      </c>
      <c r="F185" t="s">
        <v>749</v>
      </c>
      <c r="G185">
        <v>1</v>
      </c>
      <c r="H185" t="s">
        <v>754</v>
      </c>
    </row>
    <row r="186" spans="1:8" x14ac:dyDescent="0.25">
      <c r="A186">
        <v>131</v>
      </c>
      <c r="B186" s="17">
        <v>44775</v>
      </c>
      <c r="C186" s="18">
        <v>0.82525462962962959</v>
      </c>
      <c r="D186">
        <v>1691957</v>
      </c>
      <c r="E186" t="s">
        <v>727</v>
      </c>
      <c r="F186" t="s">
        <v>749</v>
      </c>
      <c r="G186">
        <v>1</v>
      </c>
      <c r="H186" t="s">
        <v>754</v>
      </c>
    </row>
    <row r="187" spans="1:8" x14ac:dyDescent="0.25">
      <c r="A187">
        <v>131</v>
      </c>
      <c r="B187" s="17">
        <v>44775</v>
      </c>
      <c r="C187" s="18">
        <v>0.82618055555555558</v>
      </c>
      <c r="D187">
        <v>1691958</v>
      </c>
      <c r="E187" t="s">
        <v>727</v>
      </c>
      <c r="F187" t="s">
        <v>749</v>
      </c>
      <c r="G187">
        <v>1</v>
      </c>
      <c r="H187" t="s">
        <v>754</v>
      </c>
    </row>
    <row r="188" spans="1:8" x14ac:dyDescent="0.25">
      <c r="A188">
        <v>131</v>
      </c>
      <c r="B188" s="17">
        <v>44776</v>
      </c>
      <c r="C188" s="18">
        <v>0.48509259259259258</v>
      </c>
      <c r="D188">
        <v>1692145</v>
      </c>
      <c r="E188" t="s">
        <v>726</v>
      </c>
      <c r="F188" t="s">
        <v>749</v>
      </c>
      <c r="G188">
        <v>1</v>
      </c>
      <c r="H188" t="s">
        <v>754</v>
      </c>
    </row>
    <row r="189" spans="1:8" x14ac:dyDescent="0.25">
      <c r="A189">
        <v>131</v>
      </c>
      <c r="B189" s="17">
        <v>44776</v>
      </c>
      <c r="C189" s="18">
        <v>0.50056712962962957</v>
      </c>
      <c r="D189">
        <v>1692157</v>
      </c>
      <c r="E189" t="s">
        <v>726</v>
      </c>
      <c r="F189" t="s">
        <v>749</v>
      </c>
      <c r="G189">
        <v>1</v>
      </c>
      <c r="H189" t="s">
        <v>754</v>
      </c>
    </row>
    <row r="190" spans="1:8" x14ac:dyDescent="0.25">
      <c r="A190">
        <v>131</v>
      </c>
      <c r="B190" s="17">
        <v>44776</v>
      </c>
      <c r="C190" s="18">
        <v>0.57694444444444437</v>
      </c>
      <c r="D190">
        <v>1692204</v>
      </c>
      <c r="E190" t="s">
        <v>726</v>
      </c>
      <c r="F190" t="s">
        <v>749</v>
      </c>
      <c r="G190">
        <v>1</v>
      </c>
      <c r="H190" t="s">
        <v>754</v>
      </c>
    </row>
    <row r="191" spans="1:8" x14ac:dyDescent="0.25">
      <c r="A191">
        <v>131</v>
      </c>
      <c r="B191" s="17">
        <v>44776</v>
      </c>
      <c r="C191" s="18">
        <v>0.61697916666666663</v>
      </c>
      <c r="D191">
        <v>1692238</v>
      </c>
      <c r="E191" t="s">
        <v>726</v>
      </c>
      <c r="F191" t="s">
        <v>749</v>
      </c>
      <c r="G191">
        <v>1</v>
      </c>
      <c r="H191" t="s">
        <v>754</v>
      </c>
    </row>
    <row r="192" spans="1:8" x14ac:dyDescent="0.25">
      <c r="A192">
        <v>131</v>
      </c>
      <c r="B192" s="17">
        <v>44777</v>
      </c>
      <c r="C192" s="18">
        <v>0.30156250000000001</v>
      </c>
      <c r="D192">
        <v>1692486</v>
      </c>
      <c r="E192" t="s">
        <v>727</v>
      </c>
      <c r="F192" t="s">
        <v>749</v>
      </c>
      <c r="G192">
        <v>1</v>
      </c>
      <c r="H192" t="s">
        <v>754</v>
      </c>
    </row>
    <row r="193" spans="1:8" x14ac:dyDescent="0.25">
      <c r="A193">
        <v>131</v>
      </c>
      <c r="B193" s="17">
        <v>44777</v>
      </c>
      <c r="C193" s="18">
        <v>0.38699074074074075</v>
      </c>
      <c r="D193">
        <v>1692510</v>
      </c>
      <c r="E193" t="s">
        <v>726</v>
      </c>
      <c r="F193" t="s">
        <v>749</v>
      </c>
      <c r="G193">
        <v>1</v>
      </c>
      <c r="H193" t="s">
        <v>754</v>
      </c>
    </row>
    <row r="194" spans="1:8" x14ac:dyDescent="0.25">
      <c r="A194">
        <v>131</v>
      </c>
      <c r="B194" s="17">
        <v>44777</v>
      </c>
      <c r="C194" s="18">
        <v>0.3974421296296296</v>
      </c>
      <c r="D194">
        <v>1692520</v>
      </c>
      <c r="E194" t="s">
        <v>726</v>
      </c>
      <c r="F194" t="s">
        <v>749</v>
      </c>
      <c r="G194">
        <v>1</v>
      </c>
      <c r="H194" t="s">
        <v>754</v>
      </c>
    </row>
    <row r="195" spans="1:8" x14ac:dyDescent="0.25">
      <c r="A195">
        <v>131</v>
      </c>
      <c r="B195" s="17">
        <v>44777</v>
      </c>
      <c r="C195" s="18">
        <v>0.41381944444444446</v>
      </c>
      <c r="D195">
        <v>1692533</v>
      </c>
      <c r="E195" t="s">
        <v>726</v>
      </c>
      <c r="F195" t="s">
        <v>749</v>
      </c>
      <c r="G195">
        <v>1</v>
      </c>
      <c r="H195" t="s">
        <v>754</v>
      </c>
    </row>
    <row r="196" spans="1:8" x14ac:dyDescent="0.25">
      <c r="A196">
        <v>131</v>
      </c>
      <c r="B196" s="17">
        <v>44777</v>
      </c>
      <c r="C196" s="18">
        <v>0.54334490740740737</v>
      </c>
      <c r="D196">
        <v>1692618</v>
      </c>
      <c r="E196" t="s">
        <v>726</v>
      </c>
      <c r="F196" t="s">
        <v>749</v>
      </c>
      <c r="G196">
        <v>1</v>
      </c>
      <c r="H196" t="s">
        <v>754</v>
      </c>
    </row>
    <row r="197" spans="1:8" x14ac:dyDescent="0.25">
      <c r="A197">
        <v>131</v>
      </c>
      <c r="B197" s="17">
        <v>44777</v>
      </c>
      <c r="C197" s="18">
        <v>0.54608796296296302</v>
      </c>
      <c r="D197">
        <v>1692623</v>
      </c>
      <c r="E197" t="s">
        <v>726</v>
      </c>
      <c r="F197" t="s">
        <v>749</v>
      </c>
      <c r="G197">
        <v>1</v>
      </c>
      <c r="H197" t="s">
        <v>754</v>
      </c>
    </row>
    <row r="198" spans="1:8" x14ac:dyDescent="0.25">
      <c r="A198">
        <v>131</v>
      </c>
      <c r="B198" s="17">
        <v>44777</v>
      </c>
      <c r="C198" s="18">
        <v>0.63262731481481482</v>
      </c>
      <c r="D198">
        <v>1692684</v>
      </c>
      <c r="E198" t="s">
        <v>726</v>
      </c>
      <c r="F198" t="s">
        <v>749</v>
      </c>
      <c r="G198">
        <v>1</v>
      </c>
      <c r="H198" t="s">
        <v>754</v>
      </c>
    </row>
    <row r="199" spans="1:8" x14ac:dyDescent="0.25">
      <c r="A199">
        <v>131</v>
      </c>
      <c r="B199" s="17">
        <v>44777</v>
      </c>
      <c r="C199" s="18">
        <v>0.63571759259259253</v>
      </c>
      <c r="D199">
        <v>1692688</v>
      </c>
      <c r="E199" t="s">
        <v>726</v>
      </c>
      <c r="F199" t="s">
        <v>749</v>
      </c>
      <c r="G199">
        <v>1</v>
      </c>
      <c r="H199" t="s">
        <v>754</v>
      </c>
    </row>
    <row r="200" spans="1:8" x14ac:dyDescent="0.25">
      <c r="A200">
        <v>131</v>
      </c>
      <c r="B200" s="17">
        <v>44777</v>
      </c>
      <c r="C200" s="18">
        <v>0.66094907407407411</v>
      </c>
      <c r="D200">
        <v>1692701</v>
      </c>
      <c r="E200" t="s">
        <v>726</v>
      </c>
      <c r="F200" t="s">
        <v>749</v>
      </c>
      <c r="G200">
        <v>1</v>
      </c>
      <c r="H200" t="s">
        <v>754</v>
      </c>
    </row>
    <row r="201" spans="1:8" x14ac:dyDescent="0.25">
      <c r="A201">
        <v>141</v>
      </c>
      <c r="B201" s="17">
        <v>44774</v>
      </c>
      <c r="C201" s="18">
        <v>0.35776620370370371</v>
      </c>
      <c r="D201">
        <v>1090120</v>
      </c>
      <c r="E201" t="s">
        <v>728</v>
      </c>
      <c r="F201" t="s">
        <v>749</v>
      </c>
      <c r="G201">
        <v>1</v>
      </c>
      <c r="H201" t="s">
        <v>754</v>
      </c>
    </row>
    <row r="202" spans="1:8" x14ac:dyDescent="0.25">
      <c r="A202">
        <v>141</v>
      </c>
      <c r="B202" s="17">
        <v>44774</v>
      </c>
      <c r="C202" s="18">
        <v>0.46880787037037036</v>
      </c>
      <c r="D202">
        <v>1090179</v>
      </c>
      <c r="E202" t="s">
        <v>728</v>
      </c>
      <c r="F202" t="s">
        <v>749</v>
      </c>
      <c r="G202">
        <v>1</v>
      </c>
      <c r="H202" t="s">
        <v>754</v>
      </c>
    </row>
    <row r="203" spans="1:8" x14ac:dyDescent="0.25">
      <c r="A203">
        <v>141</v>
      </c>
      <c r="B203" s="17">
        <v>44774</v>
      </c>
      <c r="C203" s="18">
        <v>0.50891203703703702</v>
      </c>
      <c r="D203">
        <v>1090211</v>
      </c>
      <c r="E203" t="s">
        <v>728</v>
      </c>
      <c r="F203" t="s">
        <v>749</v>
      </c>
      <c r="G203">
        <v>1</v>
      </c>
      <c r="H203" t="s">
        <v>754</v>
      </c>
    </row>
    <row r="204" spans="1:8" x14ac:dyDescent="0.25">
      <c r="A204">
        <v>141</v>
      </c>
      <c r="B204" s="17">
        <v>44774</v>
      </c>
      <c r="C204" s="18">
        <v>0.5103240740740741</v>
      </c>
      <c r="D204">
        <v>1090212</v>
      </c>
      <c r="E204" t="s">
        <v>728</v>
      </c>
      <c r="F204" t="s">
        <v>749</v>
      </c>
      <c r="G204">
        <v>1</v>
      </c>
      <c r="H204" t="s">
        <v>754</v>
      </c>
    </row>
    <row r="205" spans="1:8" x14ac:dyDescent="0.25">
      <c r="A205">
        <v>141</v>
      </c>
      <c r="B205" s="17">
        <v>44774</v>
      </c>
      <c r="C205" s="18">
        <v>0.6152199074074074</v>
      </c>
      <c r="D205">
        <v>1090293</v>
      </c>
      <c r="E205" t="s">
        <v>728</v>
      </c>
      <c r="F205" t="s">
        <v>749</v>
      </c>
      <c r="G205">
        <v>1</v>
      </c>
      <c r="H205" t="s">
        <v>754</v>
      </c>
    </row>
    <row r="206" spans="1:8" x14ac:dyDescent="0.25">
      <c r="A206">
        <v>141</v>
      </c>
      <c r="B206" s="17">
        <v>44774</v>
      </c>
      <c r="C206" s="18">
        <v>0.78520833333333329</v>
      </c>
      <c r="D206">
        <v>1090436</v>
      </c>
      <c r="E206" t="s">
        <v>728</v>
      </c>
      <c r="F206" t="s">
        <v>749</v>
      </c>
      <c r="G206">
        <v>1</v>
      </c>
      <c r="H206" t="s">
        <v>754</v>
      </c>
    </row>
    <row r="207" spans="1:8" x14ac:dyDescent="0.25">
      <c r="A207">
        <v>141</v>
      </c>
      <c r="B207" s="17">
        <v>44774</v>
      </c>
      <c r="C207" s="18">
        <v>0.84277777777777774</v>
      </c>
      <c r="D207">
        <v>1090487</v>
      </c>
      <c r="E207" t="s">
        <v>728</v>
      </c>
      <c r="F207" t="s">
        <v>749</v>
      </c>
      <c r="G207">
        <v>1</v>
      </c>
      <c r="H207" t="s">
        <v>754</v>
      </c>
    </row>
    <row r="208" spans="1:8" x14ac:dyDescent="0.25">
      <c r="A208">
        <v>141</v>
      </c>
      <c r="B208" s="17">
        <v>44775</v>
      </c>
      <c r="C208" s="18">
        <v>0.41368055555555555</v>
      </c>
      <c r="D208">
        <v>1090608</v>
      </c>
      <c r="E208" t="s">
        <v>728</v>
      </c>
      <c r="F208" t="s">
        <v>749</v>
      </c>
      <c r="G208">
        <v>1</v>
      </c>
      <c r="H208" t="s">
        <v>754</v>
      </c>
    </row>
    <row r="209" spans="1:8" x14ac:dyDescent="0.25">
      <c r="A209">
        <v>141</v>
      </c>
      <c r="B209" s="17">
        <v>44775</v>
      </c>
      <c r="C209" s="18">
        <v>0.44533564814814813</v>
      </c>
      <c r="D209">
        <v>1090626</v>
      </c>
      <c r="E209" t="s">
        <v>728</v>
      </c>
      <c r="F209" t="s">
        <v>749</v>
      </c>
      <c r="G209">
        <v>1</v>
      </c>
      <c r="H209" t="s">
        <v>754</v>
      </c>
    </row>
    <row r="210" spans="1:8" x14ac:dyDescent="0.25">
      <c r="A210">
        <v>141</v>
      </c>
      <c r="B210" s="17">
        <v>44775</v>
      </c>
      <c r="C210" s="18">
        <v>0.55371527777777774</v>
      </c>
      <c r="D210">
        <v>1090684</v>
      </c>
      <c r="E210" t="s">
        <v>728</v>
      </c>
      <c r="F210" t="s">
        <v>749</v>
      </c>
      <c r="G210">
        <v>1</v>
      </c>
      <c r="H210" t="s">
        <v>754</v>
      </c>
    </row>
    <row r="211" spans="1:8" x14ac:dyDescent="0.25">
      <c r="A211">
        <v>141</v>
      </c>
      <c r="B211" s="17">
        <v>44775</v>
      </c>
      <c r="C211" s="18">
        <v>0.71195601851851853</v>
      </c>
      <c r="D211">
        <v>1090802</v>
      </c>
      <c r="E211" t="s">
        <v>729</v>
      </c>
      <c r="F211" t="s">
        <v>749</v>
      </c>
      <c r="G211">
        <v>1</v>
      </c>
      <c r="H211" t="s">
        <v>754</v>
      </c>
    </row>
    <row r="212" spans="1:8" x14ac:dyDescent="0.25">
      <c r="A212">
        <v>141</v>
      </c>
      <c r="B212" s="17">
        <v>44776</v>
      </c>
      <c r="C212" s="18">
        <v>0.25430555555555556</v>
      </c>
      <c r="D212">
        <v>1090928</v>
      </c>
      <c r="E212" t="s">
        <v>728</v>
      </c>
      <c r="F212" t="s">
        <v>749</v>
      </c>
      <c r="G212">
        <v>1</v>
      </c>
      <c r="H212" t="s">
        <v>754</v>
      </c>
    </row>
    <row r="213" spans="1:8" x14ac:dyDescent="0.25">
      <c r="A213">
        <v>141</v>
      </c>
      <c r="B213" s="17">
        <v>44776</v>
      </c>
      <c r="C213" s="18">
        <v>0.38564814814814818</v>
      </c>
      <c r="D213">
        <v>1090967</v>
      </c>
      <c r="E213" t="s">
        <v>715</v>
      </c>
      <c r="F213" t="s">
        <v>749</v>
      </c>
      <c r="G213">
        <v>1</v>
      </c>
      <c r="H213" t="s">
        <v>754</v>
      </c>
    </row>
    <row r="214" spans="1:8" x14ac:dyDescent="0.25">
      <c r="A214">
        <v>141</v>
      </c>
      <c r="B214" s="17">
        <v>44776</v>
      </c>
      <c r="C214" s="18">
        <v>0.40069444444444446</v>
      </c>
      <c r="D214">
        <v>1090973</v>
      </c>
      <c r="E214" t="s">
        <v>715</v>
      </c>
      <c r="F214" t="s">
        <v>749</v>
      </c>
      <c r="G214">
        <v>1</v>
      </c>
      <c r="H214" t="s">
        <v>754</v>
      </c>
    </row>
    <row r="215" spans="1:8" x14ac:dyDescent="0.25">
      <c r="A215">
        <v>141</v>
      </c>
      <c r="B215" s="17">
        <v>44776</v>
      </c>
      <c r="C215" s="18">
        <v>0.42890046296296297</v>
      </c>
      <c r="D215">
        <v>1090983</v>
      </c>
      <c r="E215" t="s">
        <v>728</v>
      </c>
      <c r="F215" t="s">
        <v>749</v>
      </c>
      <c r="G215">
        <v>1</v>
      </c>
      <c r="H215" t="s">
        <v>754</v>
      </c>
    </row>
    <row r="216" spans="1:8" x14ac:dyDescent="0.25">
      <c r="A216">
        <v>141</v>
      </c>
      <c r="B216" s="17">
        <v>44776</v>
      </c>
      <c r="C216" s="18">
        <v>0.56600694444444444</v>
      </c>
      <c r="D216">
        <v>1091069</v>
      </c>
      <c r="E216" t="s">
        <v>728</v>
      </c>
      <c r="F216" t="s">
        <v>749</v>
      </c>
      <c r="G216">
        <v>1</v>
      </c>
      <c r="H216" t="s">
        <v>754</v>
      </c>
    </row>
    <row r="217" spans="1:8" x14ac:dyDescent="0.25">
      <c r="A217">
        <v>141</v>
      </c>
      <c r="B217" s="17">
        <v>44776</v>
      </c>
      <c r="C217" s="18">
        <v>0.59055555555555561</v>
      </c>
      <c r="D217">
        <v>1091087</v>
      </c>
      <c r="E217" t="s">
        <v>728</v>
      </c>
      <c r="F217" t="s">
        <v>749</v>
      </c>
      <c r="G217">
        <v>1</v>
      </c>
      <c r="H217" t="s">
        <v>754</v>
      </c>
    </row>
    <row r="218" spans="1:8" x14ac:dyDescent="0.25">
      <c r="A218">
        <v>141</v>
      </c>
      <c r="B218" s="17">
        <v>44776</v>
      </c>
      <c r="C218" s="18">
        <v>0.59914351851851855</v>
      </c>
      <c r="D218">
        <v>1091095</v>
      </c>
      <c r="E218" t="s">
        <v>729</v>
      </c>
      <c r="F218" t="s">
        <v>749</v>
      </c>
      <c r="G218">
        <v>1</v>
      </c>
      <c r="H218" t="s">
        <v>754</v>
      </c>
    </row>
    <row r="219" spans="1:8" x14ac:dyDescent="0.25">
      <c r="A219">
        <v>141</v>
      </c>
      <c r="B219" s="17">
        <v>44776</v>
      </c>
      <c r="C219" s="18">
        <v>0.60119212962962965</v>
      </c>
      <c r="D219">
        <v>1091098</v>
      </c>
      <c r="E219" t="s">
        <v>729</v>
      </c>
      <c r="F219" t="s">
        <v>749</v>
      </c>
      <c r="G219">
        <v>1</v>
      </c>
      <c r="H219" t="s">
        <v>754</v>
      </c>
    </row>
    <row r="220" spans="1:8" x14ac:dyDescent="0.25">
      <c r="A220">
        <v>141</v>
      </c>
      <c r="B220" s="17">
        <v>44776</v>
      </c>
      <c r="C220" s="18">
        <v>0.65601851851851845</v>
      </c>
      <c r="D220">
        <v>1091149</v>
      </c>
      <c r="E220" t="s">
        <v>729</v>
      </c>
      <c r="F220" t="s">
        <v>749</v>
      </c>
      <c r="G220">
        <v>1</v>
      </c>
      <c r="H220" t="s">
        <v>754</v>
      </c>
    </row>
    <row r="221" spans="1:8" x14ac:dyDescent="0.25">
      <c r="A221">
        <v>141</v>
      </c>
      <c r="B221" s="17">
        <v>44777</v>
      </c>
      <c r="C221" s="18">
        <v>0.35348379629629628</v>
      </c>
      <c r="D221">
        <v>1091320</v>
      </c>
      <c r="E221" t="s">
        <v>728</v>
      </c>
      <c r="F221" t="s">
        <v>749</v>
      </c>
      <c r="G221">
        <v>1</v>
      </c>
      <c r="H221" t="s">
        <v>754</v>
      </c>
    </row>
    <row r="222" spans="1:8" x14ac:dyDescent="0.25">
      <c r="A222">
        <v>141</v>
      </c>
      <c r="B222" s="17">
        <v>44777</v>
      </c>
      <c r="C222" s="18">
        <v>0.48719907407407409</v>
      </c>
      <c r="D222">
        <v>1091379</v>
      </c>
      <c r="E222" t="s">
        <v>728</v>
      </c>
      <c r="F222" t="s">
        <v>749</v>
      </c>
      <c r="G222">
        <v>1</v>
      </c>
      <c r="H222" t="s">
        <v>754</v>
      </c>
    </row>
    <row r="223" spans="1:8" x14ac:dyDescent="0.25">
      <c r="A223">
        <v>141</v>
      </c>
      <c r="B223" s="17">
        <v>44777</v>
      </c>
      <c r="C223" s="18">
        <v>0.56690972222222225</v>
      </c>
      <c r="D223">
        <v>1091437</v>
      </c>
      <c r="E223" t="s">
        <v>728</v>
      </c>
      <c r="F223" t="s">
        <v>749</v>
      </c>
      <c r="G223">
        <v>1</v>
      </c>
      <c r="H223" t="s">
        <v>754</v>
      </c>
    </row>
    <row r="224" spans="1:8" x14ac:dyDescent="0.25">
      <c r="A224">
        <v>141</v>
      </c>
      <c r="B224" s="17">
        <v>44777</v>
      </c>
      <c r="C224" s="18">
        <v>0.71722222222222232</v>
      </c>
      <c r="D224">
        <v>1091554</v>
      </c>
      <c r="E224" t="s">
        <v>729</v>
      </c>
      <c r="F224" t="s">
        <v>749</v>
      </c>
      <c r="G224">
        <v>1</v>
      </c>
      <c r="H224" t="s">
        <v>754</v>
      </c>
    </row>
    <row r="225" spans="1:8" x14ac:dyDescent="0.25">
      <c r="A225">
        <v>141</v>
      </c>
      <c r="B225" s="17">
        <v>44777</v>
      </c>
      <c r="C225" s="18">
        <v>0.86791666666666656</v>
      </c>
      <c r="D225">
        <v>1091648</v>
      </c>
      <c r="E225" t="s">
        <v>729</v>
      </c>
      <c r="F225" t="s">
        <v>749</v>
      </c>
      <c r="G225">
        <v>1</v>
      </c>
      <c r="H225" t="s">
        <v>754</v>
      </c>
    </row>
    <row r="226" spans="1:8" x14ac:dyDescent="0.25">
      <c r="A226">
        <v>161</v>
      </c>
      <c r="B226" s="17">
        <v>44774</v>
      </c>
      <c r="C226" s="18">
        <v>0.62113425925925925</v>
      </c>
      <c r="D226">
        <v>622486</v>
      </c>
      <c r="E226" t="s">
        <v>730</v>
      </c>
      <c r="F226" t="s">
        <v>749</v>
      </c>
      <c r="G226">
        <v>1</v>
      </c>
      <c r="H226" t="s">
        <v>754</v>
      </c>
    </row>
    <row r="227" spans="1:8" x14ac:dyDescent="0.25">
      <c r="A227">
        <v>161</v>
      </c>
      <c r="B227" s="17">
        <v>44774</v>
      </c>
      <c r="C227" s="18">
        <v>0.67186342592592585</v>
      </c>
      <c r="D227">
        <v>622507</v>
      </c>
      <c r="E227" t="s">
        <v>730</v>
      </c>
      <c r="F227" t="s">
        <v>749</v>
      </c>
      <c r="G227">
        <v>1</v>
      </c>
      <c r="H227" t="s">
        <v>754</v>
      </c>
    </row>
    <row r="228" spans="1:8" x14ac:dyDescent="0.25">
      <c r="A228">
        <v>161</v>
      </c>
      <c r="B228" s="17">
        <v>44774</v>
      </c>
      <c r="C228" s="18">
        <v>0.88218750000000001</v>
      </c>
      <c r="D228">
        <v>622598</v>
      </c>
      <c r="E228" t="s">
        <v>904</v>
      </c>
      <c r="F228" t="s">
        <v>749</v>
      </c>
      <c r="G228">
        <v>1</v>
      </c>
      <c r="H228" t="s">
        <v>754</v>
      </c>
    </row>
    <row r="229" spans="1:8" x14ac:dyDescent="0.25">
      <c r="A229">
        <v>161</v>
      </c>
      <c r="B229" s="17">
        <v>44775</v>
      </c>
      <c r="C229" s="18">
        <v>0.45319444444444446</v>
      </c>
      <c r="D229">
        <v>622738</v>
      </c>
      <c r="E229" t="s">
        <v>730</v>
      </c>
      <c r="F229" t="s">
        <v>749</v>
      </c>
      <c r="G229">
        <v>1</v>
      </c>
      <c r="H229" t="s">
        <v>754</v>
      </c>
    </row>
    <row r="230" spans="1:8" x14ac:dyDescent="0.25">
      <c r="A230">
        <v>161</v>
      </c>
      <c r="B230" s="17">
        <v>44775</v>
      </c>
      <c r="C230" s="18">
        <v>0.4546412037037037</v>
      </c>
      <c r="D230">
        <v>622739</v>
      </c>
      <c r="E230" t="s">
        <v>730</v>
      </c>
      <c r="F230" t="s">
        <v>749</v>
      </c>
      <c r="G230">
        <v>1</v>
      </c>
      <c r="H230" t="s">
        <v>754</v>
      </c>
    </row>
    <row r="231" spans="1:8" x14ac:dyDescent="0.25">
      <c r="A231">
        <v>161</v>
      </c>
      <c r="B231" s="17">
        <v>44776</v>
      </c>
      <c r="C231" s="18">
        <v>0.62364583333333334</v>
      </c>
      <c r="D231">
        <v>623077</v>
      </c>
      <c r="E231" t="s">
        <v>904</v>
      </c>
      <c r="F231" t="s">
        <v>749</v>
      </c>
      <c r="G231">
        <v>1</v>
      </c>
      <c r="H231" t="s">
        <v>754</v>
      </c>
    </row>
    <row r="232" spans="1:8" x14ac:dyDescent="0.25">
      <c r="A232">
        <v>161</v>
      </c>
      <c r="B232" s="17">
        <v>44776</v>
      </c>
      <c r="C232" s="18">
        <v>0.81042824074074071</v>
      </c>
      <c r="D232">
        <v>623153</v>
      </c>
      <c r="E232" t="s">
        <v>722</v>
      </c>
      <c r="F232" t="s">
        <v>749</v>
      </c>
      <c r="G232">
        <v>1</v>
      </c>
      <c r="H232" t="s">
        <v>754</v>
      </c>
    </row>
    <row r="233" spans="1:8" x14ac:dyDescent="0.25">
      <c r="A233">
        <v>161</v>
      </c>
      <c r="B233" s="17">
        <v>44776</v>
      </c>
      <c r="C233" s="18">
        <v>0.88347222222222221</v>
      </c>
      <c r="D233">
        <v>623186</v>
      </c>
      <c r="E233" t="s">
        <v>722</v>
      </c>
      <c r="F233" t="s">
        <v>749</v>
      </c>
      <c r="G233">
        <v>1</v>
      </c>
      <c r="H233" t="s">
        <v>754</v>
      </c>
    </row>
    <row r="234" spans="1:8" x14ac:dyDescent="0.25">
      <c r="A234">
        <v>161</v>
      </c>
      <c r="B234" s="17">
        <v>44777</v>
      </c>
      <c r="C234" s="18">
        <v>0.79357638888888893</v>
      </c>
      <c r="D234">
        <v>623462</v>
      </c>
      <c r="E234" t="s">
        <v>904</v>
      </c>
      <c r="F234" t="s">
        <v>749</v>
      </c>
      <c r="G234">
        <v>1</v>
      </c>
      <c r="H234" t="s">
        <v>754</v>
      </c>
    </row>
    <row r="235" spans="1:8" x14ac:dyDescent="0.25">
      <c r="A235">
        <v>191</v>
      </c>
      <c r="B235" s="17">
        <v>44777</v>
      </c>
      <c r="C235" s="18">
        <v>0.66753472222222221</v>
      </c>
      <c r="D235">
        <v>703882</v>
      </c>
      <c r="E235" t="s">
        <v>905</v>
      </c>
      <c r="F235" t="s">
        <v>749</v>
      </c>
      <c r="G235">
        <v>1</v>
      </c>
      <c r="H235" t="s">
        <v>754</v>
      </c>
    </row>
    <row r="236" spans="1:8" x14ac:dyDescent="0.25">
      <c r="A236">
        <v>231</v>
      </c>
      <c r="B236" s="17">
        <v>44774</v>
      </c>
      <c r="C236" s="18">
        <v>0.55084490740740744</v>
      </c>
      <c r="D236">
        <v>496109</v>
      </c>
      <c r="E236" t="s">
        <v>732</v>
      </c>
      <c r="F236" t="s">
        <v>749</v>
      </c>
      <c r="G236">
        <v>1</v>
      </c>
      <c r="H236" t="s">
        <v>754</v>
      </c>
    </row>
    <row r="237" spans="1:8" x14ac:dyDescent="0.25">
      <c r="A237">
        <v>231</v>
      </c>
      <c r="B237" s="17">
        <v>44774</v>
      </c>
      <c r="C237" s="18">
        <v>0.78901620370370373</v>
      </c>
      <c r="D237">
        <v>496234</v>
      </c>
      <c r="E237" t="s">
        <v>732</v>
      </c>
      <c r="F237" t="s">
        <v>749</v>
      </c>
      <c r="G237">
        <v>1</v>
      </c>
      <c r="H237" t="s">
        <v>754</v>
      </c>
    </row>
    <row r="238" spans="1:8" x14ac:dyDescent="0.25">
      <c r="A238">
        <v>231</v>
      </c>
      <c r="B238" s="17">
        <v>44776</v>
      </c>
      <c r="C238" s="18">
        <v>0.31071759259259263</v>
      </c>
      <c r="D238">
        <v>496542</v>
      </c>
      <c r="E238" t="s">
        <v>733</v>
      </c>
      <c r="F238" t="s">
        <v>749</v>
      </c>
      <c r="G238">
        <v>1</v>
      </c>
      <c r="H238" t="s">
        <v>754</v>
      </c>
    </row>
    <row r="239" spans="1:8" x14ac:dyDescent="0.25">
      <c r="A239">
        <v>231</v>
      </c>
      <c r="B239" s="17">
        <v>44776</v>
      </c>
      <c r="C239" s="18">
        <v>0.42969907407407404</v>
      </c>
      <c r="D239">
        <v>496560</v>
      </c>
      <c r="E239" t="s">
        <v>733</v>
      </c>
      <c r="F239" t="s">
        <v>749</v>
      </c>
      <c r="G239">
        <v>1</v>
      </c>
      <c r="H239" t="s">
        <v>754</v>
      </c>
    </row>
    <row r="240" spans="1:8" x14ac:dyDescent="0.25">
      <c r="A240">
        <v>231</v>
      </c>
      <c r="B240" s="17">
        <v>44777</v>
      </c>
      <c r="C240" s="18">
        <v>0.79341435185185183</v>
      </c>
      <c r="D240">
        <v>496937</v>
      </c>
      <c r="E240" t="s">
        <v>733</v>
      </c>
      <c r="F240" t="s">
        <v>749</v>
      </c>
      <c r="G240">
        <v>1</v>
      </c>
      <c r="H240" t="s">
        <v>754</v>
      </c>
    </row>
    <row r="241" spans="1:8" x14ac:dyDescent="0.25">
      <c r="A241">
        <v>231</v>
      </c>
      <c r="B241" s="17">
        <v>44777</v>
      </c>
      <c r="C241" s="18">
        <v>0.86280092592592583</v>
      </c>
      <c r="D241">
        <v>496973</v>
      </c>
      <c r="E241" t="s">
        <v>733</v>
      </c>
      <c r="F241" t="s">
        <v>749</v>
      </c>
      <c r="G241">
        <v>1</v>
      </c>
      <c r="H241" t="s">
        <v>754</v>
      </c>
    </row>
    <row r="242" spans="1:8" x14ac:dyDescent="0.25">
      <c r="A242">
        <v>261</v>
      </c>
      <c r="B242" s="17">
        <v>44775</v>
      </c>
      <c r="C242" s="18">
        <v>0.41403935185185187</v>
      </c>
      <c r="D242">
        <v>592405</v>
      </c>
      <c r="E242" t="s">
        <v>734</v>
      </c>
      <c r="F242" t="s">
        <v>749</v>
      </c>
      <c r="G242">
        <v>1</v>
      </c>
      <c r="H242" t="s">
        <v>754</v>
      </c>
    </row>
    <row r="243" spans="1:8" x14ac:dyDescent="0.25">
      <c r="A243">
        <v>261</v>
      </c>
      <c r="B243" s="17">
        <v>44775</v>
      </c>
      <c r="C243" s="18">
        <v>0.50105324074074076</v>
      </c>
      <c r="D243">
        <v>592426</v>
      </c>
      <c r="E243" t="s">
        <v>734</v>
      </c>
      <c r="F243" t="s">
        <v>749</v>
      </c>
      <c r="G243">
        <v>1</v>
      </c>
      <c r="H243" t="s">
        <v>754</v>
      </c>
    </row>
    <row r="244" spans="1:8" x14ac:dyDescent="0.25">
      <c r="A244">
        <v>261</v>
      </c>
      <c r="B244" s="17">
        <v>44777</v>
      </c>
      <c r="C244" s="18">
        <v>0.71755787037037033</v>
      </c>
      <c r="D244">
        <v>592909</v>
      </c>
      <c r="E244" t="s">
        <v>734</v>
      </c>
      <c r="F244" t="s">
        <v>749</v>
      </c>
      <c r="G244">
        <v>1</v>
      </c>
      <c r="H244" t="s">
        <v>754</v>
      </c>
    </row>
    <row r="245" spans="1:8" x14ac:dyDescent="0.25">
      <c r="A245">
        <v>261</v>
      </c>
      <c r="B245" s="17">
        <v>44777</v>
      </c>
      <c r="C245" s="18">
        <v>0.88936342592592599</v>
      </c>
      <c r="D245">
        <v>592950</v>
      </c>
      <c r="E245" t="s">
        <v>734</v>
      </c>
      <c r="F245" t="s">
        <v>749</v>
      </c>
      <c r="G245">
        <v>1</v>
      </c>
      <c r="H245" t="s">
        <v>754</v>
      </c>
    </row>
    <row r="246" spans="1:8" x14ac:dyDescent="0.25">
      <c r="A246">
        <v>261</v>
      </c>
      <c r="B246" s="17">
        <v>44777</v>
      </c>
      <c r="C246" s="18">
        <v>0.89337962962962969</v>
      </c>
      <c r="D246">
        <v>592952</v>
      </c>
      <c r="E246" t="s">
        <v>734</v>
      </c>
      <c r="F246" t="s">
        <v>749</v>
      </c>
      <c r="G246">
        <v>1</v>
      </c>
      <c r="H246" t="s">
        <v>754</v>
      </c>
    </row>
    <row r="247" spans="1:8" x14ac:dyDescent="0.25">
      <c r="A247">
        <v>271</v>
      </c>
      <c r="B247" s="17">
        <v>44774</v>
      </c>
      <c r="C247" s="18">
        <v>0.52182870370370371</v>
      </c>
      <c r="D247">
        <v>238800</v>
      </c>
      <c r="E247" t="s">
        <v>1279</v>
      </c>
      <c r="F247" t="s">
        <v>749</v>
      </c>
      <c r="G247">
        <v>1</v>
      </c>
      <c r="H247" t="s">
        <v>754</v>
      </c>
    </row>
    <row r="248" spans="1:8" x14ac:dyDescent="0.25">
      <c r="A248">
        <v>271</v>
      </c>
      <c r="B248" s="17">
        <v>44774</v>
      </c>
      <c r="C248" s="18">
        <v>0.52678240740740734</v>
      </c>
      <c r="D248">
        <v>238806</v>
      </c>
      <c r="E248" t="s">
        <v>1279</v>
      </c>
      <c r="F248" t="s">
        <v>749</v>
      </c>
      <c r="G248">
        <v>1</v>
      </c>
      <c r="H248" t="s">
        <v>754</v>
      </c>
    </row>
    <row r="249" spans="1:8" x14ac:dyDescent="0.25">
      <c r="A249">
        <v>271</v>
      </c>
      <c r="B249" s="17">
        <v>44774</v>
      </c>
      <c r="C249" s="18">
        <v>0.6463888888888889</v>
      </c>
      <c r="D249">
        <v>238926</v>
      </c>
      <c r="E249" t="s">
        <v>722</v>
      </c>
      <c r="F249" t="s">
        <v>749</v>
      </c>
      <c r="G249">
        <v>1</v>
      </c>
      <c r="H249" t="s">
        <v>754</v>
      </c>
    </row>
    <row r="250" spans="1:8" x14ac:dyDescent="0.25">
      <c r="A250">
        <v>271</v>
      </c>
      <c r="B250" s="17">
        <v>44774</v>
      </c>
      <c r="C250" s="18">
        <v>0.79791666666666661</v>
      </c>
      <c r="D250">
        <v>239026</v>
      </c>
      <c r="E250" t="s">
        <v>1279</v>
      </c>
      <c r="F250" t="s">
        <v>749</v>
      </c>
      <c r="G250">
        <v>1</v>
      </c>
      <c r="H250" t="s">
        <v>754</v>
      </c>
    </row>
    <row r="251" spans="1:8" x14ac:dyDescent="0.25">
      <c r="A251">
        <v>271</v>
      </c>
      <c r="B251" s="17">
        <v>44774</v>
      </c>
      <c r="C251" s="18">
        <v>0.8497569444444445</v>
      </c>
      <c r="D251">
        <v>239064</v>
      </c>
      <c r="E251" t="s">
        <v>722</v>
      </c>
      <c r="F251" t="s">
        <v>749</v>
      </c>
      <c r="G251">
        <v>1</v>
      </c>
      <c r="H251" t="s">
        <v>754</v>
      </c>
    </row>
    <row r="252" spans="1:8" x14ac:dyDescent="0.25">
      <c r="A252">
        <v>271</v>
      </c>
      <c r="B252" s="17">
        <v>44775</v>
      </c>
      <c r="C252" s="18">
        <v>0.61840277777777775</v>
      </c>
      <c r="D252">
        <v>239275</v>
      </c>
      <c r="E252" t="s">
        <v>736</v>
      </c>
      <c r="F252" t="s">
        <v>749</v>
      </c>
      <c r="G252">
        <v>1</v>
      </c>
      <c r="H252" t="s">
        <v>754</v>
      </c>
    </row>
    <row r="253" spans="1:8" x14ac:dyDescent="0.25">
      <c r="A253">
        <v>271</v>
      </c>
      <c r="B253" s="17">
        <v>44775</v>
      </c>
      <c r="C253" s="18">
        <v>0.64311342592592591</v>
      </c>
      <c r="D253">
        <v>239297</v>
      </c>
      <c r="E253" t="s">
        <v>722</v>
      </c>
      <c r="F253" t="s">
        <v>749</v>
      </c>
      <c r="G253">
        <v>1</v>
      </c>
      <c r="H253" t="s">
        <v>754</v>
      </c>
    </row>
    <row r="254" spans="1:8" x14ac:dyDescent="0.25">
      <c r="A254">
        <v>271</v>
      </c>
      <c r="B254" s="17">
        <v>44775</v>
      </c>
      <c r="C254" s="18">
        <v>0.79185185185185192</v>
      </c>
      <c r="D254">
        <v>239396</v>
      </c>
      <c r="E254" t="s">
        <v>722</v>
      </c>
      <c r="F254" t="s">
        <v>749</v>
      </c>
      <c r="G254">
        <v>1</v>
      </c>
      <c r="H254" t="s">
        <v>754</v>
      </c>
    </row>
    <row r="255" spans="1:8" x14ac:dyDescent="0.25">
      <c r="A255">
        <v>271</v>
      </c>
      <c r="B255" s="17">
        <v>44776</v>
      </c>
      <c r="C255" s="18">
        <v>0.3283564814814815</v>
      </c>
      <c r="D255">
        <v>239497</v>
      </c>
      <c r="E255" t="s">
        <v>722</v>
      </c>
      <c r="F255" t="s">
        <v>749</v>
      </c>
      <c r="G255">
        <v>1</v>
      </c>
      <c r="H255" t="s">
        <v>754</v>
      </c>
    </row>
    <row r="256" spans="1:8" x14ac:dyDescent="0.25">
      <c r="A256">
        <v>271</v>
      </c>
      <c r="B256" s="17">
        <v>44776</v>
      </c>
      <c r="C256" s="18">
        <v>0.33703703703703702</v>
      </c>
      <c r="D256">
        <v>239502</v>
      </c>
      <c r="E256" t="s">
        <v>722</v>
      </c>
      <c r="F256" t="s">
        <v>749</v>
      </c>
      <c r="G256">
        <v>1</v>
      </c>
      <c r="H256" t="s">
        <v>754</v>
      </c>
    </row>
    <row r="257" spans="1:8" x14ac:dyDescent="0.25">
      <c r="A257">
        <v>271</v>
      </c>
      <c r="B257" s="17">
        <v>44776</v>
      </c>
      <c r="C257" s="18">
        <v>0.44344907407407402</v>
      </c>
      <c r="D257">
        <v>239552</v>
      </c>
      <c r="E257" t="s">
        <v>722</v>
      </c>
      <c r="F257" t="s">
        <v>749</v>
      </c>
      <c r="G257">
        <v>1</v>
      </c>
      <c r="H257" t="s">
        <v>754</v>
      </c>
    </row>
    <row r="258" spans="1:8" x14ac:dyDescent="0.25">
      <c r="A258">
        <v>271</v>
      </c>
      <c r="B258" s="17">
        <v>44776</v>
      </c>
      <c r="C258" s="18">
        <v>0.48643518518518519</v>
      </c>
      <c r="D258">
        <v>239570</v>
      </c>
      <c r="E258" t="s">
        <v>722</v>
      </c>
      <c r="F258" t="s">
        <v>749</v>
      </c>
      <c r="G258">
        <v>1</v>
      </c>
      <c r="H258" t="s">
        <v>754</v>
      </c>
    </row>
    <row r="259" spans="1:8" x14ac:dyDescent="0.25">
      <c r="A259">
        <v>271</v>
      </c>
      <c r="B259" s="17">
        <v>44776</v>
      </c>
      <c r="C259" s="18">
        <v>0.49438657407407405</v>
      </c>
      <c r="D259">
        <v>239574</v>
      </c>
      <c r="E259" t="s">
        <v>722</v>
      </c>
      <c r="F259" t="s">
        <v>749</v>
      </c>
      <c r="G259">
        <v>1</v>
      </c>
      <c r="H259" t="s">
        <v>754</v>
      </c>
    </row>
    <row r="260" spans="1:8" x14ac:dyDescent="0.25">
      <c r="A260">
        <v>271</v>
      </c>
      <c r="B260" s="17">
        <v>44776</v>
      </c>
      <c r="C260" s="18">
        <v>0.61032407407407407</v>
      </c>
      <c r="D260">
        <v>239681</v>
      </c>
      <c r="E260" t="s">
        <v>722</v>
      </c>
      <c r="F260" t="s">
        <v>749</v>
      </c>
      <c r="G260">
        <v>1</v>
      </c>
      <c r="H260" t="s">
        <v>754</v>
      </c>
    </row>
    <row r="261" spans="1:8" x14ac:dyDescent="0.25">
      <c r="A261">
        <v>271</v>
      </c>
      <c r="B261" s="17">
        <v>44776</v>
      </c>
      <c r="C261" s="18">
        <v>0.62758101851851855</v>
      </c>
      <c r="D261">
        <v>239693</v>
      </c>
      <c r="E261" t="s">
        <v>722</v>
      </c>
      <c r="F261" t="s">
        <v>749</v>
      </c>
      <c r="G261">
        <v>1</v>
      </c>
      <c r="H261" t="s">
        <v>754</v>
      </c>
    </row>
    <row r="262" spans="1:8" x14ac:dyDescent="0.25">
      <c r="A262">
        <v>271</v>
      </c>
      <c r="B262" s="17">
        <v>44776</v>
      </c>
      <c r="C262" s="18">
        <v>0.64068287037037031</v>
      </c>
      <c r="D262">
        <v>239699</v>
      </c>
      <c r="E262" t="s">
        <v>722</v>
      </c>
      <c r="F262" t="s">
        <v>749</v>
      </c>
      <c r="G262">
        <v>1</v>
      </c>
      <c r="H262" t="s">
        <v>754</v>
      </c>
    </row>
    <row r="263" spans="1:8" x14ac:dyDescent="0.25">
      <c r="A263">
        <v>271</v>
      </c>
      <c r="B263" s="17">
        <v>44776</v>
      </c>
      <c r="C263" s="18">
        <v>0.77055555555555555</v>
      </c>
      <c r="D263">
        <v>239785</v>
      </c>
      <c r="E263" t="s">
        <v>722</v>
      </c>
      <c r="F263" t="s">
        <v>749</v>
      </c>
      <c r="G263">
        <v>1</v>
      </c>
      <c r="H263" t="s">
        <v>754</v>
      </c>
    </row>
    <row r="264" spans="1:8" x14ac:dyDescent="0.25">
      <c r="A264">
        <v>271</v>
      </c>
      <c r="B264" s="17">
        <v>44777</v>
      </c>
      <c r="C264" s="18">
        <v>0.41545138888888888</v>
      </c>
      <c r="D264">
        <v>239921</v>
      </c>
      <c r="E264" t="s">
        <v>736</v>
      </c>
      <c r="F264" t="s">
        <v>749</v>
      </c>
      <c r="G264">
        <v>1</v>
      </c>
      <c r="H264" t="s">
        <v>754</v>
      </c>
    </row>
    <row r="265" spans="1:8" x14ac:dyDescent="0.25">
      <c r="A265">
        <v>271</v>
      </c>
      <c r="B265" s="17">
        <v>44777</v>
      </c>
      <c r="C265" s="18">
        <v>0.55846064814814811</v>
      </c>
      <c r="D265">
        <v>240007</v>
      </c>
      <c r="E265" t="s">
        <v>736</v>
      </c>
      <c r="F265" t="s">
        <v>749</v>
      </c>
      <c r="G265">
        <v>1</v>
      </c>
      <c r="H265" t="s">
        <v>754</v>
      </c>
    </row>
    <row r="266" spans="1:8" x14ac:dyDescent="0.25">
      <c r="A266">
        <v>271</v>
      </c>
      <c r="B266" s="17">
        <v>44777</v>
      </c>
      <c r="C266" s="18">
        <v>0.75175925925925924</v>
      </c>
      <c r="D266">
        <v>240120</v>
      </c>
      <c r="E266" t="s">
        <v>722</v>
      </c>
      <c r="F266" t="s">
        <v>749</v>
      </c>
      <c r="G266">
        <v>1</v>
      </c>
      <c r="H266" t="s">
        <v>754</v>
      </c>
    </row>
    <row r="267" spans="1:8" x14ac:dyDescent="0.25">
      <c r="A267">
        <v>271</v>
      </c>
      <c r="B267" s="17">
        <v>44777</v>
      </c>
      <c r="C267" s="18">
        <v>0.81518518518518512</v>
      </c>
      <c r="D267">
        <v>240155</v>
      </c>
      <c r="E267" t="s">
        <v>722</v>
      </c>
      <c r="F267" t="s">
        <v>749</v>
      </c>
      <c r="G267">
        <v>1</v>
      </c>
      <c r="H267" t="s">
        <v>754</v>
      </c>
    </row>
    <row r="268" spans="1:8" x14ac:dyDescent="0.25">
      <c r="A268">
        <v>271</v>
      </c>
      <c r="B268" s="17">
        <v>44777</v>
      </c>
      <c r="C268" s="18">
        <v>0.87304398148148143</v>
      </c>
      <c r="D268">
        <v>240211</v>
      </c>
      <c r="E268" t="s">
        <v>722</v>
      </c>
      <c r="F268" t="s">
        <v>749</v>
      </c>
      <c r="G268">
        <v>1</v>
      </c>
      <c r="H268" t="s">
        <v>754</v>
      </c>
    </row>
    <row r="269" spans="1:8" x14ac:dyDescent="0.25">
      <c r="A269">
        <v>321</v>
      </c>
      <c r="B269" s="17">
        <v>44774</v>
      </c>
      <c r="C269" s="18">
        <v>0.34052083333333333</v>
      </c>
      <c r="D269">
        <v>511988</v>
      </c>
      <c r="E269" t="s">
        <v>738</v>
      </c>
      <c r="F269" t="s">
        <v>749</v>
      </c>
      <c r="G269">
        <v>1</v>
      </c>
      <c r="H269" t="s">
        <v>754</v>
      </c>
    </row>
    <row r="270" spans="1:8" x14ac:dyDescent="0.25">
      <c r="A270">
        <v>321</v>
      </c>
      <c r="B270" s="17">
        <v>44774</v>
      </c>
      <c r="C270" s="18">
        <v>0.75291666666666668</v>
      </c>
      <c r="D270">
        <v>512179</v>
      </c>
      <c r="E270" t="s">
        <v>738</v>
      </c>
      <c r="F270" t="s">
        <v>749</v>
      </c>
      <c r="G270">
        <v>1</v>
      </c>
      <c r="H270" t="s">
        <v>754</v>
      </c>
    </row>
    <row r="271" spans="1:8" x14ac:dyDescent="0.25">
      <c r="A271">
        <v>321</v>
      </c>
      <c r="B271" s="17">
        <v>44776</v>
      </c>
      <c r="C271" s="18">
        <v>0.54818287037037039</v>
      </c>
      <c r="D271">
        <v>512806</v>
      </c>
      <c r="E271" t="s">
        <v>738</v>
      </c>
      <c r="F271" t="s">
        <v>749</v>
      </c>
      <c r="G271">
        <v>1</v>
      </c>
      <c r="H271" t="s">
        <v>754</v>
      </c>
    </row>
    <row r="272" spans="1:8" x14ac:dyDescent="0.25">
      <c r="A272">
        <v>321</v>
      </c>
      <c r="B272" s="17">
        <v>44776</v>
      </c>
      <c r="C272" s="18">
        <v>0.61619212962962966</v>
      </c>
      <c r="D272">
        <v>512828</v>
      </c>
      <c r="E272" t="s">
        <v>738</v>
      </c>
      <c r="F272" t="s">
        <v>749</v>
      </c>
      <c r="G272">
        <v>1</v>
      </c>
      <c r="H272" t="s">
        <v>754</v>
      </c>
    </row>
    <row r="273" spans="1:8" x14ac:dyDescent="0.25">
      <c r="A273">
        <v>321</v>
      </c>
      <c r="B273" s="17">
        <v>44776</v>
      </c>
      <c r="C273" s="18">
        <v>0.79886574074074079</v>
      </c>
      <c r="D273">
        <v>512920</v>
      </c>
      <c r="E273" t="s">
        <v>739</v>
      </c>
      <c r="F273" t="s">
        <v>749</v>
      </c>
      <c r="G273">
        <v>1</v>
      </c>
      <c r="H273" t="s">
        <v>754</v>
      </c>
    </row>
    <row r="274" spans="1:8" x14ac:dyDescent="0.25">
      <c r="A274">
        <v>321</v>
      </c>
      <c r="B274" s="17">
        <v>44776</v>
      </c>
      <c r="C274" s="18">
        <v>0.80004629629629631</v>
      </c>
      <c r="D274">
        <v>512921</v>
      </c>
      <c r="E274" t="s">
        <v>739</v>
      </c>
      <c r="F274" t="s">
        <v>749</v>
      </c>
      <c r="G274">
        <v>1</v>
      </c>
      <c r="H274" t="s">
        <v>754</v>
      </c>
    </row>
    <row r="275" spans="1:8" x14ac:dyDescent="0.25">
      <c r="A275">
        <v>351</v>
      </c>
      <c r="B275" s="17">
        <v>44775</v>
      </c>
      <c r="C275" s="18">
        <v>0.75020833333333325</v>
      </c>
      <c r="D275">
        <v>471220</v>
      </c>
      <c r="E275" t="s">
        <v>740</v>
      </c>
      <c r="F275" t="s">
        <v>749</v>
      </c>
      <c r="G275">
        <v>1</v>
      </c>
    </row>
    <row r="276" spans="1:8" x14ac:dyDescent="0.25">
      <c r="A276">
        <v>361</v>
      </c>
      <c r="B276" s="17">
        <v>44776</v>
      </c>
      <c r="C276" s="18">
        <v>0.82696759259259256</v>
      </c>
      <c r="D276">
        <v>352072</v>
      </c>
      <c r="E276" t="s">
        <v>722</v>
      </c>
      <c r="F276" t="s">
        <v>749</v>
      </c>
      <c r="G276">
        <v>1</v>
      </c>
      <c r="H276" t="s">
        <v>754</v>
      </c>
    </row>
    <row r="277" spans="1:8" x14ac:dyDescent="0.25">
      <c r="A277">
        <v>361</v>
      </c>
      <c r="B277" s="17">
        <v>44777</v>
      </c>
      <c r="C277" s="18">
        <v>0.52847222222222223</v>
      </c>
      <c r="D277">
        <v>352265</v>
      </c>
      <c r="E277" t="s">
        <v>741</v>
      </c>
      <c r="F277" t="s">
        <v>749</v>
      </c>
      <c r="G277">
        <v>1</v>
      </c>
      <c r="H277" t="s">
        <v>754</v>
      </c>
    </row>
    <row r="278" spans="1:8" x14ac:dyDescent="0.25">
      <c r="A278">
        <v>361</v>
      </c>
      <c r="B278" s="17">
        <v>44777</v>
      </c>
      <c r="C278" s="18">
        <v>0.92265046296296294</v>
      </c>
      <c r="D278">
        <v>352465</v>
      </c>
      <c r="E278" t="s">
        <v>722</v>
      </c>
      <c r="F278" t="s">
        <v>749</v>
      </c>
      <c r="G278">
        <v>1</v>
      </c>
      <c r="H278" t="s">
        <v>754</v>
      </c>
    </row>
    <row r="279" spans="1:8" x14ac:dyDescent="0.25">
      <c r="A279">
        <v>391</v>
      </c>
      <c r="B279" s="17">
        <v>44777</v>
      </c>
      <c r="C279" s="18">
        <v>0.82988425925925924</v>
      </c>
      <c r="D279">
        <v>122401</v>
      </c>
      <c r="E279" t="s">
        <v>722</v>
      </c>
      <c r="F279" t="s">
        <v>749</v>
      </c>
      <c r="G279">
        <v>1</v>
      </c>
      <c r="H279" t="s">
        <v>754</v>
      </c>
    </row>
    <row r="280" spans="1:8" x14ac:dyDescent="0.25">
      <c r="A280">
        <v>391</v>
      </c>
      <c r="B280" s="17">
        <v>44777</v>
      </c>
      <c r="C280" s="18">
        <v>0.82988425925925924</v>
      </c>
      <c r="D280">
        <v>122401</v>
      </c>
      <c r="E280" t="s">
        <v>722</v>
      </c>
      <c r="F280" t="s">
        <v>749</v>
      </c>
      <c r="G280">
        <v>1</v>
      </c>
      <c r="H280" t="s">
        <v>754</v>
      </c>
    </row>
    <row r="281" spans="1:8" x14ac:dyDescent="0.25">
      <c r="A281">
        <v>401</v>
      </c>
      <c r="B281" s="17">
        <v>44775</v>
      </c>
      <c r="C281" s="18">
        <v>0.74821759259259257</v>
      </c>
      <c r="D281">
        <v>44121</v>
      </c>
      <c r="E281" t="s">
        <v>742</v>
      </c>
      <c r="F281" t="s">
        <v>749</v>
      </c>
      <c r="G281">
        <v>4</v>
      </c>
    </row>
    <row r="282" spans="1:8" x14ac:dyDescent="0.25">
      <c r="A282">
        <v>401</v>
      </c>
      <c r="B282" s="17">
        <v>44777</v>
      </c>
      <c r="C282" s="18">
        <v>0.39524305555555556</v>
      </c>
      <c r="D282">
        <v>44564</v>
      </c>
      <c r="E282" t="s">
        <v>742</v>
      </c>
      <c r="F282" t="s">
        <v>749</v>
      </c>
      <c r="G282">
        <v>1</v>
      </c>
      <c r="H282" t="s">
        <v>754</v>
      </c>
    </row>
    <row r="283" spans="1:8" x14ac:dyDescent="0.25">
      <c r="A283">
        <v>401</v>
      </c>
      <c r="B283" s="17">
        <v>44777</v>
      </c>
      <c r="C283" s="18">
        <v>0.83163194444444455</v>
      </c>
      <c r="D283">
        <v>44746</v>
      </c>
      <c r="E283" t="s">
        <v>901</v>
      </c>
      <c r="F283" t="s">
        <v>749</v>
      </c>
      <c r="G283">
        <v>1</v>
      </c>
      <c r="H283" t="s">
        <v>754</v>
      </c>
    </row>
    <row r="284" spans="1:8" x14ac:dyDescent="0.25">
      <c r="A284">
        <v>401</v>
      </c>
      <c r="B284" s="17">
        <v>44777</v>
      </c>
      <c r="C284" s="18">
        <v>0.90768518518518526</v>
      </c>
      <c r="D284">
        <v>44781</v>
      </c>
      <c r="E284" t="s">
        <v>722</v>
      </c>
      <c r="F284" t="s">
        <v>749</v>
      </c>
      <c r="G284">
        <v>1</v>
      </c>
      <c r="H284" t="s">
        <v>754</v>
      </c>
    </row>
    <row r="285" spans="1:8" x14ac:dyDescent="0.25">
      <c r="A285">
        <v>401</v>
      </c>
      <c r="B285" s="17">
        <v>44777</v>
      </c>
      <c r="C285" s="18">
        <v>0.94592592592592595</v>
      </c>
      <c r="D285">
        <v>44803</v>
      </c>
      <c r="E285" t="s">
        <v>722</v>
      </c>
      <c r="F285" t="s">
        <v>749</v>
      </c>
      <c r="G285">
        <v>1</v>
      </c>
      <c r="H285" t="s">
        <v>754</v>
      </c>
    </row>
    <row r="286" spans="1:8" x14ac:dyDescent="0.25">
      <c r="A286">
        <v>401</v>
      </c>
      <c r="B286" s="17">
        <v>44777</v>
      </c>
      <c r="C286" s="18">
        <v>0.94906250000000003</v>
      </c>
      <c r="D286">
        <v>44805</v>
      </c>
      <c r="E286" t="s">
        <v>722</v>
      </c>
      <c r="F286" t="s">
        <v>749</v>
      </c>
      <c r="G286">
        <v>1</v>
      </c>
      <c r="H286" t="s">
        <v>754</v>
      </c>
    </row>
  </sheetData>
  <sortState xmlns:xlrd2="http://schemas.microsoft.com/office/spreadsheetml/2017/richdata2" ref="A3:G287">
    <sortCondition ref="A3:A287"/>
    <sortCondition ref="B3:B287"/>
    <sortCondition ref="C3:C28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B0A1-1217-4315-B65A-9A8C750C933C}">
  <sheetPr codeName="Hoja423"/>
  <dimension ref="A1:I361"/>
  <sheetViews>
    <sheetView workbookViewId="0"/>
  </sheetViews>
  <sheetFormatPr baseColWidth="10" defaultRowHeight="15" x14ac:dyDescent="0.25"/>
  <cols>
    <col min="1" max="1" width="1.5703125" bestFit="1" customWidth="1"/>
    <col min="2" max="2" width="9" style="17" bestFit="1" customWidth="1"/>
    <col min="3" max="3" width="11.28515625" style="20" bestFit="1" customWidth="1"/>
    <col min="4" max="4" width="17.7109375" style="35" customWidth="1"/>
    <col min="5" max="5" width="17.85546875" style="35" bestFit="1" customWidth="1"/>
    <col min="6" max="6" width="27.140625" bestFit="1" customWidth="1"/>
    <col min="7" max="7" width="7.42578125" bestFit="1" customWidth="1"/>
    <col min="8" max="9" width="11.5703125" bestFit="1" customWidth="1"/>
  </cols>
  <sheetData>
    <row r="1" spans="1:9" x14ac:dyDescent="0.25">
      <c r="A1" s="63">
        <v>44778</v>
      </c>
      <c r="B1" s="64"/>
      <c r="C1" s="64"/>
      <c r="D1" s="64"/>
      <c r="E1" s="64"/>
      <c r="F1" s="64"/>
      <c r="G1" s="64"/>
      <c r="H1" s="64"/>
      <c r="I1" s="65"/>
    </row>
    <row r="2" spans="1:9" x14ac:dyDescent="0.25">
      <c r="A2" s="22"/>
      <c r="B2" s="23" t="s">
        <v>19</v>
      </c>
      <c r="C2" s="24" t="s">
        <v>745</v>
      </c>
      <c r="D2" s="33" t="s">
        <v>746</v>
      </c>
      <c r="E2" s="33" t="s">
        <v>747</v>
      </c>
      <c r="F2" s="22" t="s">
        <v>748</v>
      </c>
      <c r="G2" s="22" t="s">
        <v>691</v>
      </c>
      <c r="H2" s="22"/>
      <c r="I2" s="22"/>
    </row>
    <row r="3" spans="1:9" x14ac:dyDescent="0.25">
      <c r="A3" s="66" t="s">
        <v>833</v>
      </c>
      <c r="B3" s="25" t="s">
        <v>1268</v>
      </c>
      <c r="C3" s="76"/>
      <c r="D3" s="76"/>
      <c r="E3" s="76"/>
      <c r="F3" s="76"/>
      <c r="G3" s="26"/>
      <c r="H3" s="22"/>
      <c r="I3" s="22"/>
    </row>
    <row r="4" spans="1:9" x14ac:dyDescent="0.25">
      <c r="A4" s="66"/>
      <c r="B4" s="28">
        <v>44774</v>
      </c>
      <c r="C4" s="29">
        <v>1.5243055555555557E-2</v>
      </c>
      <c r="D4" s="34" t="s">
        <v>722</v>
      </c>
      <c r="E4" s="34" t="s">
        <v>709</v>
      </c>
      <c r="F4" s="31" t="s">
        <v>1609</v>
      </c>
      <c r="G4" s="30">
        <v>-44.5</v>
      </c>
      <c r="H4" s="22"/>
      <c r="I4" s="22"/>
    </row>
    <row r="5" spans="1:9" x14ac:dyDescent="0.25">
      <c r="A5" s="66"/>
      <c r="B5" s="23">
        <v>44774</v>
      </c>
      <c r="C5" s="24">
        <v>0.51219907407407406</v>
      </c>
      <c r="D5" s="33" t="s">
        <v>703</v>
      </c>
      <c r="E5" s="33" t="s">
        <v>709</v>
      </c>
      <c r="F5" s="27" t="s">
        <v>1525</v>
      </c>
      <c r="G5" s="22">
        <v>-54.5</v>
      </c>
      <c r="H5" s="22"/>
      <c r="I5" s="22"/>
    </row>
    <row r="6" spans="1:9" x14ac:dyDescent="0.25">
      <c r="A6" s="66"/>
      <c r="B6" s="23">
        <v>44774</v>
      </c>
      <c r="C6" s="24">
        <v>0.51396990740740744</v>
      </c>
      <c r="D6" s="33" t="s">
        <v>703</v>
      </c>
      <c r="E6" s="33" t="s">
        <v>709</v>
      </c>
      <c r="F6" s="27" t="s">
        <v>1527</v>
      </c>
      <c r="G6" s="22">
        <v>-138.5</v>
      </c>
      <c r="H6" s="22"/>
      <c r="I6" s="22"/>
    </row>
    <row r="7" spans="1:9" x14ac:dyDescent="0.25">
      <c r="A7" s="66"/>
      <c r="B7" s="23">
        <v>44774</v>
      </c>
      <c r="C7" s="24">
        <v>0.51563657407407404</v>
      </c>
      <c r="D7" s="33" t="s">
        <v>703</v>
      </c>
      <c r="E7" s="33" t="s">
        <v>709</v>
      </c>
      <c r="F7" s="27" t="s">
        <v>1529</v>
      </c>
      <c r="G7" s="22">
        <v>-698.5</v>
      </c>
      <c r="H7" s="22"/>
      <c r="I7" s="22"/>
    </row>
    <row r="8" spans="1:9" x14ac:dyDescent="0.25">
      <c r="A8" s="66"/>
      <c r="B8" s="23">
        <v>44776</v>
      </c>
      <c r="C8" s="24">
        <v>0.53665509259259259</v>
      </c>
      <c r="D8" s="33" t="s">
        <v>703</v>
      </c>
      <c r="E8" s="33" t="s">
        <v>709</v>
      </c>
      <c r="F8" s="27" t="s">
        <v>1344</v>
      </c>
      <c r="G8" s="22">
        <v>-178.5</v>
      </c>
      <c r="H8" s="22"/>
      <c r="I8" s="22"/>
    </row>
    <row r="9" spans="1:9" x14ac:dyDescent="0.25">
      <c r="A9" s="66"/>
      <c r="B9" s="23">
        <v>44776</v>
      </c>
      <c r="C9" s="24">
        <v>0.64034722222222229</v>
      </c>
      <c r="D9" s="33" t="s">
        <v>703</v>
      </c>
      <c r="E9" s="33" t="s">
        <v>709</v>
      </c>
      <c r="F9" s="27" t="s">
        <v>1346</v>
      </c>
      <c r="G9" s="22">
        <v>-392.5</v>
      </c>
      <c r="H9" s="22"/>
      <c r="I9" s="22"/>
    </row>
    <row r="10" spans="1:9" x14ac:dyDescent="0.25">
      <c r="A10" s="66"/>
      <c r="B10" s="23">
        <v>44777</v>
      </c>
      <c r="C10" s="24">
        <v>0.38517361111111109</v>
      </c>
      <c r="D10" s="33" t="s">
        <v>703</v>
      </c>
      <c r="E10" s="33" t="s">
        <v>709</v>
      </c>
      <c r="F10" s="27" t="s">
        <v>1032</v>
      </c>
      <c r="G10" s="22">
        <v>-106.5</v>
      </c>
      <c r="H10" s="22"/>
      <c r="I10" s="22"/>
    </row>
    <row r="11" spans="1:9" x14ac:dyDescent="0.25">
      <c r="A11" s="66"/>
      <c r="B11" s="23">
        <v>44777</v>
      </c>
      <c r="C11" s="24">
        <v>0.73805555555555558</v>
      </c>
      <c r="D11" s="33" t="s">
        <v>703</v>
      </c>
      <c r="E11" s="33" t="s">
        <v>709</v>
      </c>
      <c r="F11" s="27" t="s">
        <v>1034</v>
      </c>
      <c r="G11" s="22">
        <v>-153.5</v>
      </c>
      <c r="H11" s="22"/>
      <c r="I11" s="22"/>
    </row>
    <row r="12" spans="1:9" x14ac:dyDescent="0.25">
      <c r="A12" s="66"/>
      <c r="B12" s="23">
        <v>44777</v>
      </c>
      <c r="C12" s="24">
        <v>0.74224537037037042</v>
      </c>
      <c r="D12" s="33" t="s">
        <v>703</v>
      </c>
      <c r="E12" s="33" t="s">
        <v>709</v>
      </c>
      <c r="F12" s="27" t="s">
        <v>1036</v>
      </c>
      <c r="G12" s="22">
        <v>-799.5</v>
      </c>
      <c r="H12" s="22"/>
      <c r="I12" s="22"/>
    </row>
    <row r="13" spans="1:9" x14ac:dyDescent="0.25">
      <c r="A13" s="66"/>
      <c r="B13" s="23">
        <v>44777</v>
      </c>
      <c r="C13" s="24">
        <v>0.92034722222222232</v>
      </c>
      <c r="D13" s="33" t="s">
        <v>706</v>
      </c>
      <c r="E13" s="33" t="s">
        <v>709</v>
      </c>
      <c r="F13" s="27" t="s">
        <v>1038</v>
      </c>
      <c r="G13" s="22">
        <v>-110.5</v>
      </c>
      <c r="H13" s="22"/>
      <c r="I13" s="22"/>
    </row>
    <row r="14" spans="1:9" x14ac:dyDescent="0.25">
      <c r="A14" s="66"/>
      <c r="B14" s="72"/>
      <c r="C14" s="72"/>
      <c r="D14" s="72"/>
      <c r="E14" s="72"/>
      <c r="F14" s="72"/>
      <c r="G14" s="32">
        <f>SUM(G4:G13)</f>
        <v>-2677</v>
      </c>
      <c r="H14" s="26">
        <f>10*4.94</f>
        <v>49.400000000000006</v>
      </c>
      <c r="I14" s="32">
        <f>G14+H14</f>
        <v>-2627.6</v>
      </c>
    </row>
    <row r="15" spans="1:9" x14ac:dyDescent="0.25">
      <c r="A15" s="66" t="s">
        <v>833</v>
      </c>
      <c r="B15" s="25" t="s">
        <v>1461</v>
      </c>
      <c r="C15" s="76"/>
      <c r="D15" s="76"/>
      <c r="E15" s="76"/>
      <c r="F15" s="76"/>
      <c r="G15" s="26"/>
      <c r="H15" s="22"/>
      <c r="I15" s="22"/>
    </row>
    <row r="16" spans="1:9" x14ac:dyDescent="0.25">
      <c r="A16" s="66"/>
      <c r="B16" s="23">
        <v>44774</v>
      </c>
      <c r="C16" s="24">
        <v>0.48731481481481481</v>
      </c>
      <c r="D16" s="33" t="s">
        <v>707</v>
      </c>
      <c r="E16" s="33" t="s">
        <v>709</v>
      </c>
      <c r="F16" s="27" t="s">
        <v>1530</v>
      </c>
      <c r="G16" s="22">
        <v>-178.5</v>
      </c>
      <c r="H16" s="22"/>
      <c r="I16" s="22"/>
    </row>
    <row r="17" spans="1:9" x14ac:dyDescent="0.25">
      <c r="A17" s="66"/>
      <c r="B17" s="23">
        <v>44774</v>
      </c>
      <c r="C17" s="24">
        <v>0.54991898148148144</v>
      </c>
      <c r="D17" s="33" t="s">
        <v>707</v>
      </c>
      <c r="E17" s="33" t="s">
        <v>709</v>
      </c>
      <c r="F17" s="27" t="s">
        <v>1531</v>
      </c>
      <c r="G17" s="22">
        <v>-383.5</v>
      </c>
      <c r="H17" s="22"/>
      <c r="I17" s="22"/>
    </row>
    <row r="18" spans="1:9" x14ac:dyDescent="0.25">
      <c r="A18" s="66"/>
      <c r="B18" s="23">
        <v>44774</v>
      </c>
      <c r="C18" s="24">
        <v>0.89716435185185184</v>
      </c>
      <c r="D18" s="33" t="s">
        <v>893</v>
      </c>
      <c r="E18" s="33" t="s">
        <v>709</v>
      </c>
      <c r="F18" s="27" t="s">
        <v>1533</v>
      </c>
      <c r="G18" s="22">
        <v>-300.5</v>
      </c>
      <c r="H18" s="22"/>
      <c r="I18" s="22"/>
    </row>
    <row r="19" spans="1:9" x14ac:dyDescent="0.25">
      <c r="A19" s="66"/>
      <c r="B19" s="23">
        <v>44776</v>
      </c>
      <c r="C19" s="24">
        <v>0.79899305555555555</v>
      </c>
      <c r="D19" s="33" t="s">
        <v>707</v>
      </c>
      <c r="E19" s="33" t="s">
        <v>709</v>
      </c>
      <c r="F19" s="27" t="s">
        <v>1348</v>
      </c>
      <c r="G19" s="22">
        <v>-99.5</v>
      </c>
      <c r="H19" s="22"/>
      <c r="I19" s="22"/>
    </row>
    <row r="20" spans="1:9" x14ac:dyDescent="0.25">
      <c r="A20" s="66"/>
      <c r="B20" s="23">
        <v>44776</v>
      </c>
      <c r="C20" s="24">
        <v>0.87611111111111117</v>
      </c>
      <c r="D20" s="33" t="s">
        <v>731</v>
      </c>
      <c r="E20" s="33" t="s">
        <v>709</v>
      </c>
      <c r="F20" s="27" t="s">
        <v>1350</v>
      </c>
      <c r="G20" s="22">
        <v>-53.5</v>
      </c>
      <c r="H20" s="22"/>
      <c r="I20" s="22"/>
    </row>
    <row r="21" spans="1:9" x14ac:dyDescent="0.25">
      <c r="A21" s="66"/>
      <c r="B21" s="72"/>
      <c r="C21" s="72"/>
      <c r="D21" s="72"/>
      <c r="E21" s="72"/>
      <c r="F21" s="72"/>
      <c r="G21" s="32">
        <f>SUM(G16:G20)</f>
        <v>-1015.5</v>
      </c>
      <c r="H21" s="26">
        <f>5*4.94</f>
        <v>24.700000000000003</v>
      </c>
      <c r="I21" s="32">
        <f>G21+H21</f>
        <v>-990.8</v>
      </c>
    </row>
    <row r="22" spans="1:9" x14ac:dyDescent="0.25">
      <c r="A22" s="66" t="s">
        <v>833</v>
      </c>
      <c r="B22" s="25" t="s">
        <v>1269</v>
      </c>
      <c r="C22" s="76"/>
      <c r="D22" s="76"/>
      <c r="E22" s="76"/>
      <c r="F22" s="76"/>
      <c r="G22" s="26"/>
      <c r="H22" s="22"/>
      <c r="I22" s="22"/>
    </row>
    <row r="23" spans="1:9" x14ac:dyDescent="0.25">
      <c r="A23" s="66"/>
      <c r="B23" s="23">
        <v>44776</v>
      </c>
      <c r="C23" s="24">
        <v>0.4899189814814815</v>
      </c>
      <c r="D23" s="33" t="s">
        <v>894</v>
      </c>
      <c r="E23" s="33" t="s">
        <v>709</v>
      </c>
      <c r="F23" s="27" t="s">
        <v>1352</v>
      </c>
      <c r="G23" s="22">
        <v>-625.5</v>
      </c>
      <c r="H23" s="22"/>
      <c r="I23" s="22"/>
    </row>
    <row r="24" spans="1:9" x14ac:dyDescent="0.25">
      <c r="A24" s="66"/>
      <c r="B24" s="23">
        <v>44776</v>
      </c>
      <c r="C24" s="24">
        <v>0.51201388888888888</v>
      </c>
      <c r="D24" s="33" t="s">
        <v>894</v>
      </c>
      <c r="E24" s="33" t="s">
        <v>709</v>
      </c>
      <c r="F24" s="27" t="s">
        <v>1354</v>
      </c>
      <c r="G24" s="22">
        <v>-1121.5</v>
      </c>
      <c r="H24" s="22"/>
      <c r="I24" s="22"/>
    </row>
    <row r="25" spans="1:9" x14ac:dyDescent="0.25">
      <c r="A25" s="66"/>
      <c r="B25" s="23">
        <v>44777</v>
      </c>
      <c r="C25" s="24">
        <v>0.35746527777777781</v>
      </c>
      <c r="D25" s="33" t="s">
        <v>894</v>
      </c>
      <c r="E25" s="33" t="s">
        <v>709</v>
      </c>
      <c r="F25" s="27" t="s">
        <v>1040</v>
      </c>
      <c r="G25" s="22">
        <v>-477.5</v>
      </c>
      <c r="H25" s="22"/>
      <c r="I25" s="22"/>
    </row>
    <row r="26" spans="1:9" x14ac:dyDescent="0.25">
      <c r="A26" s="66"/>
      <c r="B26" s="23">
        <v>44777</v>
      </c>
      <c r="C26" s="24">
        <v>0.35826388888888888</v>
      </c>
      <c r="D26" s="33" t="s">
        <v>894</v>
      </c>
      <c r="E26" s="33" t="s">
        <v>709</v>
      </c>
      <c r="F26" s="27" t="s">
        <v>1042</v>
      </c>
      <c r="G26" s="22">
        <v>-619.5</v>
      </c>
      <c r="H26" s="22"/>
      <c r="I26" s="22"/>
    </row>
    <row r="27" spans="1:9" x14ac:dyDescent="0.25">
      <c r="A27" s="66"/>
      <c r="B27" s="23">
        <v>44777</v>
      </c>
      <c r="C27" s="24">
        <v>0.35986111111111113</v>
      </c>
      <c r="D27" s="33" t="s">
        <v>894</v>
      </c>
      <c r="E27" s="33" t="s">
        <v>709</v>
      </c>
      <c r="F27" s="27" t="s">
        <v>1044</v>
      </c>
      <c r="G27" s="22">
        <v>-500.5</v>
      </c>
      <c r="H27" s="22"/>
      <c r="I27" s="22"/>
    </row>
    <row r="28" spans="1:9" x14ac:dyDescent="0.25">
      <c r="A28" s="66"/>
      <c r="B28" s="23">
        <v>44777</v>
      </c>
      <c r="C28" s="24">
        <v>0.70200231481481479</v>
      </c>
      <c r="D28" s="33" t="s">
        <v>895</v>
      </c>
      <c r="E28" s="33" t="s">
        <v>709</v>
      </c>
      <c r="F28" s="27" t="s">
        <v>1046</v>
      </c>
      <c r="G28" s="22">
        <v>-159.5</v>
      </c>
      <c r="H28" s="22"/>
      <c r="I28" s="22"/>
    </row>
    <row r="29" spans="1:9" x14ac:dyDescent="0.25">
      <c r="A29" s="66"/>
      <c r="B29" s="72"/>
      <c r="C29" s="72"/>
      <c r="D29" s="72"/>
      <c r="E29" s="72"/>
      <c r="F29" s="72"/>
      <c r="G29" s="32">
        <f>SUM(G23:G28)</f>
        <v>-3504</v>
      </c>
      <c r="H29" s="26">
        <f>6*4.94</f>
        <v>29.64</v>
      </c>
      <c r="I29" s="32">
        <f>G29+H29</f>
        <v>-3474.36</v>
      </c>
    </row>
    <row r="30" spans="1:9" x14ac:dyDescent="0.25">
      <c r="A30" s="66" t="s">
        <v>833</v>
      </c>
      <c r="B30" s="25" t="s">
        <v>820</v>
      </c>
      <c r="C30" s="76"/>
      <c r="D30" s="76"/>
      <c r="E30" s="76"/>
      <c r="F30" s="76"/>
      <c r="G30" s="26"/>
      <c r="H30" s="22"/>
      <c r="I30" s="22"/>
    </row>
    <row r="31" spans="1:9" x14ac:dyDescent="0.25">
      <c r="A31" s="66"/>
      <c r="B31" s="23">
        <v>44774</v>
      </c>
      <c r="C31" s="24">
        <v>0.39659722222222221</v>
      </c>
      <c r="D31" s="33" t="s">
        <v>708</v>
      </c>
      <c r="E31" s="33" t="s">
        <v>709</v>
      </c>
      <c r="F31" s="27" t="s">
        <v>1534</v>
      </c>
      <c r="G31" s="22">
        <v>-101.5</v>
      </c>
      <c r="H31" s="22"/>
      <c r="I31" s="22"/>
    </row>
    <row r="32" spans="1:9" x14ac:dyDescent="0.25">
      <c r="A32" s="66"/>
      <c r="B32" s="23">
        <v>44774</v>
      </c>
      <c r="C32" s="24">
        <v>0.50736111111111104</v>
      </c>
      <c r="D32" s="33" t="s">
        <v>708</v>
      </c>
      <c r="E32" s="33" t="s">
        <v>709</v>
      </c>
      <c r="F32" s="27" t="s">
        <v>1536</v>
      </c>
      <c r="G32" s="22">
        <v>-45.5</v>
      </c>
      <c r="H32" s="22"/>
      <c r="I32" s="22"/>
    </row>
    <row r="33" spans="1:9" x14ac:dyDescent="0.25">
      <c r="A33" s="66"/>
      <c r="B33" s="42">
        <v>44774</v>
      </c>
      <c r="C33" s="43">
        <v>0.53060185185185182</v>
      </c>
      <c r="D33" s="54" t="s">
        <v>708</v>
      </c>
      <c r="E33" s="54" t="s">
        <v>709</v>
      </c>
      <c r="F33" s="45" t="s">
        <v>1618</v>
      </c>
      <c r="G33" s="44">
        <v>-1</v>
      </c>
      <c r="H33" s="22"/>
      <c r="I33" s="22"/>
    </row>
    <row r="34" spans="1:9" x14ac:dyDescent="0.25">
      <c r="A34" s="66"/>
      <c r="B34" s="23">
        <v>44774</v>
      </c>
      <c r="C34" s="24">
        <v>0.63231481481481489</v>
      </c>
      <c r="D34" s="33" t="s">
        <v>715</v>
      </c>
      <c r="E34" s="33" t="s">
        <v>709</v>
      </c>
      <c r="F34" s="27" t="s">
        <v>1538</v>
      </c>
      <c r="G34" s="22">
        <v>-86.5</v>
      </c>
      <c r="H34" s="22"/>
      <c r="I34" s="22"/>
    </row>
    <row r="35" spans="1:9" x14ac:dyDescent="0.25">
      <c r="A35" s="66"/>
      <c r="B35" s="46">
        <v>44774</v>
      </c>
      <c r="C35" s="47">
        <v>0.74306712962962962</v>
      </c>
      <c r="D35" s="55" t="s">
        <v>708</v>
      </c>
      <c r="E35" s="55" t="s">
        <v>704</v>
      </c>
      <c r="F35" s="49" t="s">
        <v>1608</v>
      </c>
      <c r="G35" s="49" t="s">
        <v>1624</v>
      </c>
      <c r="H35" s="22"/>
      <c r="I35" s="22"/>
    </row>
    <row r="36" spans="1:9" x14ac:dyDescent="0.25">
      <c r="A36" s="66"/>
      <c r="B36" s="73" t="s">
        <v>1607</v>
      </c>
      <c r="C36" s="73"/>
      <c r="D36" s="73"/>
      <c r="E36" s="73"/>
      <c r="F36" s="73"/>
      <c r="G36" s="49"/>
      <c r="H36" s="22"/>
      <c r="I36" s="22"/>
    </row>
    <row r="37" spans="1:9" x14ac:dyDescent="0.25">
      <c r="A37" s="66"/>
      <c r="B37" s="23">
        <v>44774</v>
      </c>
      <c r="C37" s="24">
        <v>0.76931712962962961</v>
      </c>
      <c r="D37" s="33" t="s">
        <v>708</v>
      </c>
      <c r="E37" s="33" t="s">
        <v>709</v>
      </c>
      <c r="F37" s="27" t="s">
        <v>1539</v>
      </c>
      <c r="G37" s="22">
        <v>-133.5</v>
      </c>
      <c r="H37" s="22"/>
      <c r="I37" s="22"/>
    </row>
    <row r="38" spans="1:9" x14ac:dyDescent="0.25">
      <c r="A38" s="66"/>
      <c r="B38" s="23">
        <v>44774</v>
      </c>
      <c r="C38" s="24">
        <v>0.78614583333333332</v>
      </c>
      <c r="D38" s="33" t="s">
        <v>708</v>
      </c>
      <c r="E38" s="33" t="s">
        <v>709</v>
      </c>
      <c r="F38" s="27" t="s">
        <v>1541</v>
      </c>
      <c r="G38" s="22">
        <v>-384.5</v>
      </c>
      <c r="H38" s="22"/>
      <c r="I38" s="22"/>
    </row>
    <row r="39" spans="1:9" x14ac:dyDescent="0.25">
      <c r="A39" s="66"/>
      <c r="B39" s="28">
        <v>44774</v>
      </c>
      <c r="C39" s="29">
        <v>0.78765046296296293</v>
      </c>
      <c r="D39" s="34" t="s">
        <v>708</v>
      </c>
      <c r="E39" s="34" t="s">
        <v>709</v>
      </c>
      <c r="F39" s="31" t="s">
        <v>1610</v>
      </c>
      <c r="G39" s="30">
        <v>-175.5</v>
      </c>
      <c r="H39" s="22"/>
      <c r="I39" s="22"/>
    </row>
    <row r="40" spans="1:9" x14ac:dyDescent="0.25">
      <c r="A40" s="66"/>
      <c r="B40" s="23">
        <v>44775</v>
      </c>
      <c r="C40" s="24">
        <v>0.38721064814814815</v>
      </c>
      <c r="D40" s="33" t="s">
        <v>708</v>
      </c>
      <c r="E40" s="33" t="s">
        <v>709</v>
      </c>
      <c r="F40" s="27" t="s">
        <v>755</v>
      </c>
      <c r="G40" s="22">
        <v>-194.5</v>
      </c>
      <c r="H40" s="22"/>
      <c r="I40" s="22"/>
    </row>
    <row r="41" spans="1:9" x14ac:dyDescent="0.25">
      <c r="A41" s="66"/>
      <c r="B41" s="23">
        <v>44775</v>
      </c>
      <c r="C41" s="24">
        <v>0.50872685185185185</v>
      </c>
      <c r="D41" s="33" t="s">
        <v>708</v>
      </c>
      <c r="E41" s="33" t="s">
        <v>709</v>
      </c>
      <c r="F41" s="27" t="s">
        <v>757</v>
      </c>
      <c r="G41" s="22">
        <v>-3086.5</v>
      </c>
      <c r="H41" s="22"/>
      <c r="I41" s="22"/>
    </row>
    <row r="42" spans="1:9" x14ac:dyDescent="0.25">
      <c r="A42" s="66"/>
      <c r="B42" s="28">
        <v>44775</v>
      </c>
      <c r="C42" s="29">
        <v>0.51071759259259253</v>
      </c>
      <c r="D42" s="34" t="s">
        <v>708</v>
      </c>
      <c r="E42" s="34" t="s">
        <v>709</v>
      </c>
      <c r="F42" s="31" t="s">
        <v>815</v>
      </c>
      <c r="G42" s="30">
        <v>-116.5</v>
      </c>
      <c r="H42" s="22"/>
      <c r="I42" s="22"/>
    </row>
    <row r="43" spans="1:9" x14ac:dyDescent="0.25">
      <c r="A43" s="66"/>
      <c r="B43" s="23">
        <v>44775</v>
      </c>
      <c r="C43" s="24">
        <v>0.57180555555555557</v>
      </c>
      <c r="D43" s="33" t="s">
        <v>708</v>
      </c>
      <c r="E43" s="33" t="s">
        <v>709</v>
      </c>
      <c r="F43" s="27" t="s">
        <v>758</v>
      </c>
      <c r="G43" s="22">
        <v>-154.5</v>
      </c>
      <c r="H43" s="22"/>
      <c r="I43" s="22"/>
    </row>
    <row r="44" spans="1:9" x14ac:dyDescent="0.25">
      <c r="A44" s="66"/>
      <c r="B44" s="23">
        <v>44775</v>
      </c>
      <c r="C44" s="24">
        <v>0.57351851851851854</v>
      </c>
      <c r="D44" s="33" t="s">
        <v>708</v>
      </c>
      <c r="E44" s="33" t="s">
        <v>709</v>
      </c>
      <c r="F44" s="27" t="s">
        <v>760</v>
      </c>
      <c r="G44" s="22">
        <v>-109.5</v>
      </c>
      <c r="H44" s="22"/>
      <c r="I44" s="22"/>
    </row>
    <row r="45" spans="1:9" x14ac:dyDescent="0.25">
      <c r="A45" s="66"/>
      <c r="B45" s="23">
        <v>44775</v>
      </c>
      <c r="C45" s="24">
        <v>0.61559027777777775</v>
      </c>
      <c r="D45" s="33" t="s">
        <v>708</v>
      </c>
      <c r="E45" s="33" t="s">
        <v>709</v>
      </c>
      <c r="F45" s="27" t="s">
        <v>762</v>
      </c>
      <c r="G45" s="22">
        <v>-153.5</v>
      </c>
      <c r="H45" s="22"/>
      <c r="I45" s="22"/>
    </row>
    <row r="46" spans="1:9" x14ac:dyDescent="0.25">
      <c r="A46" s="66"/>
      <c r="B46" s="28">
        <v>44775</v>
      </c>
      <c r="C46" s="29">
        <v>0.7817708333333333</v>
      </c>
      <c r="D46" s="34" t="s">
        <v>710</v>
      </c>
      <c r="E46" s="34" t="s">
        <v>709</v>
      </c>
      <c r="F46" s="31" t="s">
        <v>816</v>
      </c>
      <c r="G46" s="30">
        <v>-106.5</v>
      </c>
      <c r="H46" s="22"/>
      <c r="I46" s="22"/>
    </row>
    <row r="47" spans="1:9" x14ac:dyDescent="0.25">
      <c r="A47" s="66"/>
      <c r="B47" s="23">
        <v>44776</v>
      </c>
      <c r="C47" s="24">
        <v>0.46269675925925924</v>
      </c>
      <c r="D47" s="33" t="s">
        <v>896</v>
      </c>
      <c r="E47" s="33" t="s">
        <v>709</v>
      </c>
      <c r="F47" s="27" t="s">
        <v>1356</v>
      </c>
      <c r="G47" s="22">
        <v>-80.5</v>
      </c>
      <c r="H47" s="22"/>
      <c r="I47" s="22"/>
    </row>
    <row r="48" spans="1:9" x14ac:dyDescent="0.25">
      <c r="A48" s="66"/>
      <c r="B48" s="23">
        <v>44776</v>
      </c>
      <c r="C48" s="24">
        <v>0.60252314814814811</v>
      </c>
      <c r="D48" s="33" t="s">
        <v>896</v>
      </c>
      <c r="E48" s="33" t="s">
        <v>709</v>
      </c>
      <c r="F48" s="27" t="s">
        <v>1358</v>
      </c>
      <c r="G48" s="22">
        <v>-183.5</v>
      </c>
      <c r="H48" s="22"/>
      <c r="I48" s="22"/>
    </row>
    <row r="49" spans="1:9" x14ac:dyDescent="0.25">
      <c r="A49" s="66"/>
      <c r="B49" s="23">
        <v>44776</v>
      </c>
      <c r="C49" s="24">
        <v>0.77181712962962967</v>
      </c>
      <c r="D49" s="33" t="s">
        <v>896</v>
      </c>
      <c r="E49" s="33" t="s">
        <v>709</v>
      </c>
      <c r="F49" s="27" t="s">
        <v>1360</v>
      </c>
      <c r="G49" s="22">
        <v>-190.5</v>
      </c>
      <c r="H49" s="22"/>
      <c r="I49" s="22"/>
    </row>
    <row r="50" spans="1:9" x14ac:dyDescent="0.25">
      <c r="A50" s="66"/>
      <c r="B50" s="23">
        <v>44777</v>
      </c>
      <c r="C50" s="24">
        <v>0.37921296296296297</v>
      </c>
      <c r="D50" s="33" t="s">
        <v>708</v>
      </c>
      <c r="E50" s="33" t="s">
        <v>709</v>
      </c>
      <c r="F50" s="27" t="s">
        <v>1047</v>
      </c>
      <c r="G50" s="22">
        <v>-189.5</v>
      </c>
      <c r="H50" s="22"/>
      <c r="I50" s="22"/>
    </row>
    <row r="51" spans="1:9" x14ac:dyDescent="0.25">
      <c r="A51" s="66"/>
      <c r="B51" s="23">
        <v>44777</v>
      </c>
      <c r="C51" s="24">
        <v>0.37969907407407405</v>
      </c>
      <c r="D51" s="33" t="s">
        <v>708</v>
      </c>
      <c r="E51" s="33" t="s">
        <v>709</v>
      </c>
      <c r="F51" s="27" t="s">
        <v>1049</v>
      </c>
      <c r="G51" s="22">
        <v>-45.5</v>
      </c>
      <c r="H51" s="22"/>
      <c r="I51" s="22"/>
    </row>
    <row r="52" spans="1:9" x14ac:dyDescent="0.25">
      <c r="A52" s="66"/>
      <c r="B52" s="72"/>
      <c r="C52" s="72"/>
      <c r="D52" s="72"/>
      <c r="E52" s="72"/>
      <c r="F52" s="72"/>
      <c r="G52" s="32">
        <f>SUM(G31:G51)</f>
        <v>-5539</v>
      </c>
      <c r="H52" s="26">
        <f>20*4.94</f>
        <v>98.800000000000011</v>
      </c>
      <c r="I52" s="32">
        <f>G52+H52</f>
        <v>-5440.2</v>
      </c>
    </row>
    <row r="53" spans="1:9" x14ac:dyDescent="0.25">
      <c r="A53" s="66" t="s">
        <v>833</v>
      </c>
      <c r="B53" s="25" t="s">
        <v>1270</v>
      </c>
      <c r="C53" s="76"/>
      <c r="D53" s="76"/>
      <c r="E53" s="76"/>
      <c r="F53" s="76"/>
      <c r="G53" s="26"/>
      <c r="H53" s="22"/>
      <c r="I53" s="22"/>
    </row>
    <row r="54" spans="1:9" x14ac:dyDescent="0.25">
      <c r="A54" s="66"/>
      <c r="B54" s="23">
        <v>44776</v>
      </c>
      <c r="C54" s="24">
        <v>0.46605324074074073</v>
      </c>
      <c r="D54" s="33" t="s">
        <v>897</v>
      </c>
      <c r="E54" s="33" t="s">
        <v>709</v>
      </c>
      <c r="F54" s="27" t="s">
        <v>1362</v>
      </c>
      <c r="G54" s="22">
        <v>-44.5</v>
      </c>
      <c r="H54" s="22"/>
      <c r="I54" s="22"/>
    </row>
    <row r="55" spans="1:9" x14ac:dyDescent="0.25">
      <c r="A55" s="66"/>
      <c r="B55" s="23">
        <v>44776</v>
      </c>
      <c r="C55" s="24">
        <v>0.62702546296296291</v>
      </c>
      <c r="D55" s="33" t="s">
        <v>897</v>
      </c>
      <c r="E55" s="33" t="s">
        <v>709</v>
      </c>
      <c r="F55" s="27" t="s">
        <v>1364</v>
      </c>
      <c r="G55" s="22">
        <v>-238.5</v>
      </c>
      <c r="H55" s="22"/>
      <c r="I55" s="22"/>
    </row>
    <row r="56" spans="1:9" x14ac:dyDescent="0.25">
      <c r="A56" s="66"/>
      <c r="B56" s="23">
        <v>44777</v>
      </c>
      <c r="C56" s="24">
        <v>0.5955555555555555</v>
      </c>
      <c r="D56" s="33" t="s">
        <v>711</v>
      </c>
      <c r="E56" s="33" t="s">
        <v>709</v>
      </c>
      <c r="F56" s="27" t="s">
        <v>1051</v>
      </c>
      <c r="G56" s="22">
        <v>-71.5</v>
      </c>
      <c r="H56" s="22"/>
      <c r="I56" s="22"/>
    </row>
    <row r="57" spans="1:9" x14ac:dyDescent="0.25">
      <c r="A57" s="66"/>
      <c r="B57" s="23">
        <v>44777</v>
      </c>
      <c r="C57" s="24">
        <v>0.74738425925925922</v>
      </c>
      <c r="D57" s="33" t="s">
        <v>897</v>
      </c>
      <c r="E57" s="33" t="s">
        <v>709</v>
      </c>
      <c r="F57" s="27" t="s">
        <v>1053</v>
      </c>
      <c r="G57" s="22">
        <v>-185.5</v>
      </c>
      <c r="H57" s="22"/>
      <c r="I57" s="22"/>
    </row>
    <row r="58" spans="1:9" x14ac:dyDescent="0.25">
      <c r="A58" s="66"/>
      <c r="B58" s="23">
        <v>44777</v>
      </c>
      <c r="C58" s="24">
        <v>0.75806712962962963</v>
      </c>
      <c r="D58" s="33" t="s">
        <v>897</v>
      </c>
      <c r="E58" s="33" t="s">
        <v>709</v>
      </c>
      <c r="F58" s="27" t="s">
        <v>1055</v>
      </c>
      <c r="G58" s="22">
        <v>-109.5</v>
      </c>
      <c r="H58" s="22"/>
      <c r="I58" s="22"/>
    </row>
    <row r="59" spans="1:9" x14ac:dyDescent="0.25">
      <c r="A59" s="66"/>
      <c r="B59" s="23">
        <v>44777</v>
      </c>
      <c r="C59" s="24">
        <v>0.76925925925925931</v>
      </c>
      <c r="D59" s="33" t="s">
        <v>897</v>
      </c>
      <c r="E59" s="33" t="s">
        <v>709</v>
      </c>
      <c r="F59" s="27" t="s">
        <v>1056</v>
      </c>
      <c r="G59" s="22">
        <v>-178.5</v>
      </c>
      <c r="H59" s="22"/>
      <c r="I59" s="22"/>
    </row>
    <row r="60" spans="1:9" x14ac:dyDescent="0.25">
      <c r="A60" s="66"/>
      <c r="B60" s="23">
        <v>44777</v>
      </c>
      <c r="C60" s="24">
        <v>0.83194444444444438</v>
      </c>
      <c r="D60" s="33" t="s">
        <v>897</v>
      </c>
      <c r="E60" s="33" t="s">
        <v>709</v>
      </c>
      <c r="F60" s="27" t="s">
        <v>1058</v>
      </c>
      <c r="G60" s="22">
        <v>-105.5</v>
      </c>
      <c r="H60" s="22"/>
      <c r="I60" s="22"/>
    </row>
    <row r="61" spans="1:9" x14ac:dyDescent="0.25">
      <c r="A61" s="66"/>
      <c r="B61" s="23">
        <v>44777</v>
      </c>
      <c r="C61" s="24">
        <v>0.83540509259259255</v>
      </c>
      <c r="D61" s="33" t="s">
        <v>897</v>
      </c>
      <c r="E61" s="33" t="s">
        <v>709</v>
      </c>
      <c r="F61" s="27" t="s">
        <v>1060</v>
      </c>
      <c r="G61" s="22">
        <v>-3241.5</v>
      </c>
      <c r="H61" s="22"/>
      <c r="I61" s="22"/>
    </row>
    <row r="62" spans="1:9" x14ac:dyDescent="0.25">
      <c r="A62" s="66"/>
      <c r="B62" s="28">
        <v>44777</v>
      </c>
      <c r="C62" s="29">
        <v>0.87694444444444442</v>
      </c>
      <c r="D62" s="34" t="s">
        <v>897</v>
      </c>
      <c r="E62" s="34" t="s">
        <v>709</v>
      </c>
      <c r="F62" s="31" t="s">
        <v>1257</v>
      </c>
      <c r="G62" s="30">
        <v>-99.5</v>
      </c>
      <c r="H62" s="22"/>
      <c r="I62" s="22"/>
    </row>
    <row r="63" spans="1:9" x14ac:dyDescent="0.25">
      <c r="A63" s="66"/>
      <c r="B63" s="23">
        <v>44777</v>
      </c>
      <c r="C63" s="24">
        <v>0.89560185185185182</v>
      </c>
      <c r="D63" s="33" t="s">
        <v>722</v>
      </c>
      <c r="E63" s="33" t="s">
        <v>709</v>
      </c>
      <c r="F63" s="27" t="s">
        <v>1062</v>
      </c>
      <c r="G63" s="22">
        <v>-132.5</v>
      </c>
      <c r="H63" s="22"/>
      <c r="I63" s="22"/>
    </row>
    <row r="64" spans="1:9" x14ac:dyDescent="0.25">
      <c r="A64" s="66"/>
      <c r="B64" s="72"/>
      <c r="C64" s="72"/>
      <c r="D64" s="72"/>
      <c r="E64" s="72"/>
      <c r="F64" s="72"/>
      <c r="G64" s="32">
        <f>SUM(G54:G63)</f>
        <v>-4407</v>
      </c>
      <c r="H64" s="26">
        <f>10*4.94</f>
        <v>49.400000000000006</v>
      </c>
      <c r="I64" s="32">
        <f>G64+H64</f>
        <v>-4357.6000000000004</v>
      </c>
    </row>
    <row r="65" spans="1:9" x14ac:dyDescent="0.25">
      <c r="A65" s="66" t="s">
        <v>833</v>
      </c>
      <c r="B65" s="25" t="s">
        <v>821</v>
      </c>
      <c r="C65" s="76"/>
      <c r="D65" s="76"/>
      <c r="E65" s="76"/>
      <c r="F65" s="76"/>
      <c r="G65" s="26"/>
      <c r="H65" s="22"/>
      <c r="I65" s="22"/>
    </row>
    <row r="66" spans="1:9" x14ac:dyDescent="0.25">
      <c r="A66" s="66"/>
      <c r="B66" s="23">
        <v>44774</v>
      </c>
      <c r="C66" s="24">
        <v>0.7168402777777777</v>
      </c>
      <c r="D66" s="33" t="s">
        <v>714</v>
      </c>
      <c r="E66" s="33" t="s">
        <v>709</v>
      </c>
      <c r="F66" s="27" t="s">
        <v>1543</v>
      </c>
      <c r="G66" s="22">
        <v>-125.5</v>
      </c>
      <c r="H66" s="22"/>
      <c r="I66" s="22"/>
    </row>
    <row r="67" spans="1:9" x14ac:dyDescent="0.25">
      <c r="A67" s="66"/>
      <c r="B67" s="23">
        <v>44775</v>
      </c>
      <c r="C67" s="24">
        <v>0.66271990740740738</v>
      </c>
      <c r="D67" s="33" t="s">
        <v>714</v>
      </c>
      <c r="E67" s="33" t="s">
        <v>709</v>
      </c>
      <c r="F67" s="27" t="s">
        <v>763</v>
      </c>
      <c r="G67" s="22">
        <v>-51.5</v>
      </c>
      <c r="H67" s="22"/>
      <c r="I67" s="22"/>
    </row>
    <row r="68" spans="1:9" x14ac:dyDescent="0.25">
      <c r="A68" s="66"/>
      <c r="B68" s="23">
        <v>44777</v>
      </c>
      <c r="C68" s="24">
        <v>0.760625</v>
      </c>
      <c r="D68" s="33" t="s">
        <v>714</v>
      </c>
      <c r="E68" s="33" t="s">
        <v>709</v>
      </c>
      <c r="F68" s="27" t="s">
        <v>1064</v>
      </c>
      <c r="G68" s="22">
        <v>-215.5</v>
      </c>
      <c r="H68" s="22"/>
      <c r="I68" s="22"/>
    </row>
    <row r="69" spans="1:9" x14ac:dyDescent="0.25">
      <c r="A69" s="66"/>
      <c r="B69" s="23">
        <v>44777</v>
      </c>
      <c r="C69" s="24">
        <v>0.85627314814814814</v>
      </c>
      <c r="D69" s="33" t="s">
        <v>898</v>
      </c>
      <c r="E69" s="33" t="s">
        <v>709</v>
      </c>
      <c r="F69" s="27" t="s">
        <v>1066</v>
      </c>
      <c r="G69" s="22">
        <v>-172.5</v>
      </c>
      <c r="H69" s="22"/>
      <c r="I69" s="22"/>
    </row>
    <row r="70" spans="1:9" x14ac:dyDescent="0.25">
      <c r="A70" s="66"/>
      <c r="B70" s="23">
        <v>44777</v>
      </c>
      <c r="C70" s="24">
        <v>0.91795138888888894</v>
      </c>
      <c r="D70" s="33" t="s">
        <v>898</v>
      </c>
      <c r="E70" s="33" t="s">
        <v>709</v>
      </c>
      <c r="F70" s="27" t="s">
        <v>1068</v>
      </c>
      <c r="G70" s="22">
        <v>-189.5</v>
      </c>
      <c r="H70" s="22"/>
      <c r="I70" s="22"/>
    </row>
    <row r="71" spans="1:9" x14ac:dyDescent="0.25">
      <c r="A71" s="66"/>
      <c r="B71" s="72"/>
      <c r="C71" s="72"/>
      <c r="D71" s="72"/>
      <c r="E71" s="72"/>
      <c r="F71" s="72"/>
      <c r="G71" s="32">
        <f>SUM(G66:G70)</f>
        <v>-754.5</v>
      </c>
      <c r="H71" s="26">
        <f>5*4.94</f>
        <v>24.700000000000003</v>
      </c>
      <c r="I71" s="32">
        <f>G71+H71</f>
        <v>-729.8</v>
      </c>
    </row>
    <row r="72" spans="1:9" x14ac:dyDescent="0.25">
      <c r="A72" s="66" t="s">
        <v>833</v>
      </c>
      <c r="B72" s="25" t="s">
        <v>822</v>
      </c>
      <c r="C72" s="76"/>
      <c r="D72" s="76"/>
      <c r="E72" s="76"/>
      <c r="F72" s="76"/>
      <c r="G72" s="26"/>
      <c r="H72" s="22"/>
      <c r="I72" s="22"/>
    </row>
    <row r="73" spans="1:9" x14ac:dyDescent="0.25">
      <c r="A73" s="66"/>
      <c r="B73" s="23">
        <v>44774</v>
      </c>
      <c r="C73" s="24">
        <v>0.37031249999999999</v>
      </c>
      <c r="D73" s="33" t="s">
        <v>716</v>
      </c>
      <c r="E73" s="33" t="s">
        <v>709</v>
      </c>
      <c r="F73" s="27" t="s">
        <v>1545</v>
      </c>
      <c r="G73" s="22">
        <v>-44.5</v>
      </c>
      <c r="H73" s="22"/>
      <c r="I73" s="22"/>
    </row>
    <row r="74" spans="1:9" x14ac:dyDescent="0.25">
      <c r="A74" s="66"/>
      <c r="B74" s="23">
        <v>44774</v>
      </c>
      <c r="C74" s="24">
        <v>0.56267361111111114</v>
      </c>
      <c r="D74" s="33" t="s">
        <v>716</v>
      </c>
      <c r="E74" s="33" t="s">
        <v>709</v>
      </c>
      <c r="F74" s="27" t="s">
        <v>1546</v>
      </c>
      <c r="G74" s="22">
        <v>-102.5</v>
      </c>
      <c r="H74" s="22"/>
      <c r="I74" s="22"/>
    </row>
    <row r="75" spans="1:9" x14ac:dyDescent="0.25">
      <c r="A75" s="66"/>
      <c r="B75" s="23">
        <v>44775</v>
      </c>
      <c r="C75" s="24">
        <v>0.45997685185185189</v>
      </c>
      <c r="D75" s="33" t="s">
        <v>716</v>
      </c>
      <c r="E75" s="33" t="s">
        <v>709</v>
      </c>
      <c r="F75" s="27" t="s">
        <v>764</v>
      </c>
      <c r="G75" s="22">
        <v>-79.5</v>
      </c>
      <c r="H75" s="22"/>
      <c r="I75" s="22"/>
    </row>
    <row r="76" spans="1:9" x14ac:dyDescent="0.25">
      <c r="A76" s="66"/>
      <c r="B76" s="23">
        <v>44775</v>
      </c>
      <c r="C76" s="24">
        <v>0.46767361111111111</v>
      </c>
      <c r="D76" s="33" t="s">
        <v>716</v>
      </c>
      <c r="E76" s="33" t="s">
        <v>709</v>
      </c>
      <c r="F76" s="27" t="s">
        <v>766</v>
      </c>
      <c r="G76" s="22">
        <v>-99.5</v>
      </c>
      <c r="H76" s="22"/>
      <c r="I76" s="22"/>
    </row>
    <row r="77" spans="1:9" x14ac:dyDescent="0.25">
      <c r="A77" s="66"/>
      <c r="B77" s="23">
        <v>44776</v>
      </c>
      <c r="C77" s="24">
        <v>0.78339120370370363</v>
      </c>
      <c r="D77" s="33" t="s">
        <v>899</v>
      </c>
      <c r="E77" s="33" t="s">
        <v>709</v>
      </c>
      <c r="F77" s="27" t="s">
        <v>1366</v>
      </c>
      <c r="G77" s="22">
        <v>-211.5</v>
      </c>
      <c r="H77" s="22"/>
      <c r="I77" s="22"/>
    </row>
    <row r="78" spans="1:9" x14ac:dyDescent="0.25">
      <c r="A78" s="66"/>
      <c r="B78" s="28">
        <v>44776</v>
      </c>
      <c r="C78" s="29">
        <v>0.8551157407407407</v>
      </c>
      <c r="D78" s="34" t="s">
        <v>899</v>
      </c>
      <c r="E78" s="34" t="s">
        <v>709</v>
      </c>
      <c r="F78" s="31" t="s">
        <v>1451</v>
      </c>
      <c r="G78" s="30">
        <v>-63.5</v>
      </c>
      <c r="H78" s="22"/>
      <c r="I78" s="22"/>
    </row>
    <row r="79" spans="1:9" x14ac:dyDescent="0.25">
      <c r="A79" s="66"/>
      <c r="B79" s="23">
        <v>44776</v>
      </c>
      <c r="C79" s="24">
        <v>0.93256944444444445</v>
      </c>
      <c r="D79" s="33" t="s">
        <v>899</v>
      </c>
      <c r="E79" s="33" t="s">
        <v>709</v>
      </c>
      <c r="F79" s="27" t="s">
        <v>1368</v>
      </c>
      <c r="G79" s="22">
        <v>-541.5</v>
      </c>
      <c r="H79" s="22"/>
      <c r="I79" s="22"/>
    </row>
    <row r="80" spans="1:9" x14ac:dyDescent="0.25">
      <c r="A80" s="66"/>
      <c r="B80" s="23">
        <v>44777</v>
      </c>
      <c r="C80" s="24">
        <v>0.47435185185185186</v>
      </c>
      <c r="D80" s="33" t="s">
        <v>716</v>
      </c>
      <c r="E80" s="33" t="s">
        <v>709</v>
      </c>
      <c r="F80" s="27" t="s">
        <v>1070</v>
      </c>
      <c r="G80" s="22">
        <v>-93.5</v>
      </c>
      <c r="H80" s="22"/>
      <c r="I80" s="22"/>
    </row>
    <row r="81" spans="1:9" x14ac:dyDescent="0.25">
      <c r="A81" s="66"/>
      <c r="B81" s="23">
        <v>44777</v>
      </c>
      <c r="C81" s="24">
        <v>0.68221064814814814</v>
      </c>
      <c r="D81" s="33" t="s">
        <v>716</v>
      </c>
      <c r="E81" s="33" t="s">
        <v>709</v>
      </c>
      <c r="F81" s="27" t="s">
        <v>1072</v>
      </c>
      <c r="G81" s="22">
        <v>-203.5</v>
      </c>
      <c r="H81" s="22"/>
      <c r="I81" s="22"/>
    </row>
    <row r="82" spans="1:9" x14ac:dyDescent="0.25">
      <c r="A82" s="66"/>
      <c r="B82" s="23">
        <v>44777</v>
      </c>
      <c r="C82" s="24">
        <v>0.82246527777777778</v>
      </c>
      <c r="D82" s="33" t="s">
        <v>899</v>
      </c>
      <c r="E82" s="33" t="s">
        <v>709</v>
      </c>
      <c r="F82" s="27" t="s">
        <v>1074</v>
      </c>
      <c r="G82" s="22">
        <v>-319.5</v>
      </c>
      <c r="H82" s="22"/>
      <c r="I82" s="22"/>
    </row>
    <row r="83" spans="1:9" x14ac:dyDescent="0.25">
      <c r="A83" s="66"/>
      <c r="B83" s="23">
        <v>44777</v>
      </c>
      <c r="C83" s="24">
        <v>0.82534722222222223</v>
      </c>
      <c r="D83" s="33" t="s">
        <v>899</v>
      </c>
      <c r="E83" s="33" t="s">
        <v>709</v>
      </c>
      <c r="F83" s="27" t="s">
        <v>1075</v>
      </c>
      <c r="G83" s="22">
        <v>-99.5</v>
      </c>
      <c r="H83" s="22"/>
      <c r="I83" s="22"/>
    </row>
    <row r="84" spans="1:9" x14ac:dyDescent="0.25">
      <c r="A84" s="66"/>
      <c r="B84" s="23">
        <v>44777</v>
      </c>
      <c r="C84" s="24">
        <v>0.8270601851851852</v>
      </c>
      <c r="D84" s="33" t="s">
        <v>899</v>
      </c>
      <c r="E84" s="33" t="s">
        <v>709</v>
      </c>
      <c r="F84" s="27" t="s">
        <v>1077</v>
      </c>
      <c r="G84" s="22">
        <v>-198.5</v>
      </c>
      <c r="H84" s="22"/>
      <c r="I84" s="22"/>
    </row>
    <row r="85" spans="1:9" x14ac:dyDescent="0.25">
      <c r="A85" s="66"/>
      <c r="B85" s="72"/>
      <c r="C85" s="72"/>
      <c r="D85" s="72"/>
      <c r="E85" s="72"/>
      <c r="F85" s="72"/>
      <c r="G85" s="32">
        <f>SUM(G73:G84)</f>
        <v>-2057</v>
      </c>
      <c r="H85" s="26">
        <f>12*4.94</f>
        <v>59.28</v>
      </c>
      <c r="I85" s="32">
        <f>G85+H85</f>
        <v>-1997.72</v>
      </c>
    </row>
    <row r="86" spans="1:9" x14ac:dyDescent="0.25">
      <c r="A86" s="66" t="s">
        <v>833</v>
      </c>
      <c r="B86" s="25" t="s">
        <v>823</v>
      </c>
      <c r="C86" s="76"/>
      <c r="D86" s="76"/>
      <c r="E86" s="76"/>
      <c r="F86" s="76"/>
      <c r="G86" s="26"/>
      <c r="H86" s="22"/>
      <c r="I86" s="22"/>
    </row>
    <row r="87" spans="1:9" x14ac:dyDescent="0.25">
      <c r="A87" s="66"/>
      <c r="B87" s="23">
        <v>44774</v>
      </c>
      <c r="C87" s="24">
        <v>0.35931712962962964</v>
      </c>
      <c r="D87" s="33" t="s">
        <v>717</v>
      </c>
      <c r="E87" s="33" t="s">
        <v>709</v>
      </c>
      <c r="F87" s="27" t="s">
        <v>1548</v>
      </c>
      <c r="G87" s="22">
        <v>-113.5</v>
      </c>
      <c r="H87" s="22"/>
      <c r="I87" s="22"/>
    </row>
    <row r="88" spans="1:9" x14ac:dyDescent="0.25">
      <c r="A88" s="66"/>
      <c r="B88" s="23">
        <v>44774</v>
      </c>
      <c r="C88" s="24">
        <v>0.36653935185185182</v>
      </c>
      <c r="D88" s="33" t="s">
        <v>717</v>
      </c>
      <c r="E88" s="33" t="s">
        <v>709</v>
      </c>
      <c r="F88" s="27" t="s">
        <v>1550</v>
      </c>
      <c r="G88" s="22">
        <v>-57.5</v>
      </c>
      <c r="H88" s="22"/>
      <c r="I88" s="22"/>
    </row>
    <row r="89" spans="1:9" x14ac:dyDescent="0.25">
      <c r="A89" s="66"/>
      <c r="B89" s="23">
        <v>44774</v>
      </c>
      <c r="C89" s="24">
        <v>0.48863425925925924</v>
      </c>
      <c r="D89" s="33" t="s">
        <v>717</v>
      </c>
      <c r="E89" s="33" t="s">
        <v>709</v>
      </c>
      <c r="F89" s="27" t="s">
        <v>1552</v>
      </c>
      <c r="G89" s="22">
        <v>-70.5</v>
      </c>
      <c r="H89" s="22"/>
      <c r="I89" s="22"/>
    </row>
    <row r="90" spans="1:9" x14ac:dyDescent="0.25">
      <c r="A90" s="66"/>
      <c r="B90" s="23">
        <v>44774</v>
      </c>
      <c r="C90" s="24">
        <v>0.67518518518518522</v>
      </c>
      <c r="D90" s="33" t="s">
        <v>717</v>
      </c>
      <c r="E90" s="33" t="s">
        <v>709</v>
      </c>
      <c r="F90" s="27" t="s">
        <v>1554</v>
      </c>
      <c r="G90" s="22">
        <v>-109.5</v>
      </c>
      <c r="H90" s="22"/>
      <c r="I90" s="22"/>
    </row>
    <row r="91" spans="1:9" x14ac:dyDescent="0.25">
      <c r="A91" s="66"/>
      <c r="B91" s="23">
        <v>44775</v>
      </c>
      <c r="C91" s="24">
        <v>0.42797453703703708</v>
      </c>
      <c r="D91" s="33" t="s">
        <v>717</v>
      </c>
      <c r="E91" s="33" t="s">
        <v>709</v>
      </c>
      <c r="F91" s="27" t="s">
        <v>767</v>
      </c>
      <c r="G91" s="22">
        <v>-105.5</v>
      </c>
      <c r="H91" s="22"/>
      <c r="I91" s="22"/>
    </row>
    <row r="92" spans="1:9" x14ac:dyDescent="0.25">
      <c r="A92" s="66"/>
      <c r="B92" s="23">
        <v>44775</v>
      </c>
      <c r="C92" s="24">
        <v>0.74671296296296286</v>
      </c>
      <c r="D92" s="33" t="s">
        <v>717</v>
      </c>
      <c r="E92" s="33" t="s">
        <v>709</v>
      </c>
      <c r="F92" s="27" t="s">
        <v>769</v>
      </c>
      <c r="G92" s="22">
        <v>-190.5</v>
      </c>
      <c r="H92" s="22"/>
      <c r="I92" s="22"/>
    </row>
    <row r="93" spans="1:9" x14ac:dyDescent="0.25">
      <c r="A93" s="66"/>
      <c r="B93" s="23">
        <v>44775</v>
      </c>
      <c r="C93" s="24">
        <v>0.74807870370370377</v>
      </c>
      <c r="D93" s="33" t="s">
        <v>717</v>
      </c>
      <c r="E93" s="33" t="s">
        <v>709</v>
      </c>
      <c r="F93" s="27" t="s">
        <v>771</v>
      </c>
      <c r="G93" s="22">
        <v>-142.5</v>
      </c>
      <c r="H93" s="22"/>
      <c r="I93" s="22"/>
    </row>
    <row r="94" spans="1:9" x14ac:dyDescent="0.25">
      <c r="A94" s="66"/>
      <c r="B94" s="23">
        <v>44776</v>
      </c>
      <c r="C94" s="24">
        <v>0.42064814814814816</v>
      </c>
      <c r="D94" s="33" t="s">
        <v>900</v>
      </c>
      <c r="E94" s="33" t="s">
        <v>709</v>
      </c>
      <c r="F94" s="27" t="s">
        <v>1370</v>
      </c>
      <c r="G94" s="22">
        <v>-44.5</v>
      </c>
      <c r="H94" s="22"/>
      <c r="I94" s="22"/>
    </row>
    <row r="95" spans="1:9" x14ac:dyDescent="0.25">
      <c r="A95" s="66"/>
      <c r="B95" s="23">
        <v>44776</v>
      </c>
      <c r="C95" s="24">
        <v>0.82980324074074074</v>
      </c>
      <c r="D95" s="33" t="s">
        <v>718</v>
      </c>
      <c r="E95" s="33" t="s">
        <v>709</v>
      </c>
      <c r="F95" s="27" t="s">
        <v>1372</v>
      </c>
      <c r="G95" s="22">
        <v>-181.5</v>
      </c>
      <c r="H95" s="22"/>
      <c r="I95" s="22"/>
    </row>
    <row r="96" spans="1:9" x14ac:dyDescent="0.25">
      <c r="A96" s="66"/>
      <c r="B96" s="23">
        <v>44776</v>
      </c>
      <c r="C96" s="24">
        <v>0.91438657407407409</v>
      </c>
      <c r="D96" s="33" t="s">
        <v>718</v>
      </c>
      <c r="E96" s="33" t="s">
        <v>709</v>
      </c>
      <c r="F96" s="27" t="s">
        <v>1374</v>
      </c>
      <c r="G96" s="22">
        <v>-161.5</v>
      </c>
      <c r="H96" s="22"/>
      <c r="I96" s="22"/>
    </row>
    <row r="97" spans="1:9" x14ac:dyDescent="0.25">
      <c r="A97" s="66"/>
      <c r="B97" s="23">
        <v>44777</v>
      </c>
      <c r="C97" s="24">
        <v>0.32444444444444448</v>
      </c>
      <c r="D97" s="33" t="s">
        <v>718</v>
      </c>
      <c r="E97" s="33" t="s">
        <v>709</v>
      </c>
      <c r="F97" s="27" t="s">
        <v>1079</v>
      </c>
      <c r="G97" s="22">
        <v>-156.5</v>
      </c>
      <c r="H97" s="22"/>
      <c r="I97" s="22"/>
    </row>
    <row r="98" spans="1:9" x14ac:dyDescent="0.25">
      <c r="A98" s="66"/>
      <c r="B98" s="23">
        <v>44777</v>
      </c>
      <c r="C98" s="24">
        <v>0.39008101851851856</v>
      </c>
      <c r="D98" s="33" t="s">
        <v>900</v>
      </c>
      <c r="E98" s="33" t="s">
        <v>709</v>
      </c>
      <c r="F98" s="27" t="s">
        <v>1080</v>
      </c>
      <c r="G98" s="22">
        <v>-190.5</v>
      </c>
      <c r="H98" s="22"/>
      <c r="I98" s="22"/>
    </row>
    <row r="99" spans="1:9" x14ac:dyDescent="0.25">
      <c r="A99" s="66"/>
      <c r="B99" s="23">
        <v>44777</v>
      </c>
      <c r="C99" s="24">
        <v>0.39152777777777775</v>
      </c>
      <c r="D99" s="33" t="s">
        <v>900</v>
      </c>
      <c r="E99" s="33" t="s">
        <v>709</v>
      </c>
      <c r="F99" s="27" t="s">
        <v>1082</v>
      </c>
      <c r="G99" s="22">
        <v>-94.5</v>
      </c>
      <c r="H99" s="22"/>
      <c r="I99" s="22"/>
    </row>
    <row r="100" spans="1:9" x14ac:dyDescent="0.25">
      <c r="A100" s="66"/>
      <c r="B100" s="23">
        <v>44777</v>
      </c>
      <c r="C100" s="24">
        <v>0.39288194444444446</v>
      </c>
      <c r="D100" s="33" t="s">
        <v>900</v>
      </c>
      <c r="E100" s="33" t="s">
        <v>709</v>
      </c>
      <c r="F100" s="27" t="s">
        <v>1084</v>
      </c>
      <c r="G100" s="22">
        <v>-104.5</v>
      </c>
      <c r="H100" s="22"/>
      <c r="I100" s="22"/>
    </row>
    <row r="101" spans="1:9" x14ac:dyDescent="0.25">
      <c r="A101" s="66"/>
      <c r="B101" s="23">
        <v>44777</v>
      </c>
      <c r="C101" s="24">
        <v>0.50077546296296294</v>
      </c>
      <c r="D101" s="33" t="s">
        <v>900</v>
      </c>
      <c r="E101" s="33" t="s">
        <v>709</v>
      </c>
      <c r="F101" s="27" t="s">
        <v>1086</v>
      </c>
      <c r="G101" s="22">
        <v>-89.5</v>
      </c>
      <c r="H101" s="22"/>
      <c r="I101" s="22"/>
    </row>
    <row r="102" spans="1:9" x14ac:dyDescent="0.25">
      <c r="A102" s="66"/>
      <c r="B102" s="23">
        <v>44777</v>
      </c>
      <c r="C102" s="24">
        <v>0.50545138888888885</v>
      </c>
      <c r="D102" s="33" t="s">
        <v>900</v>
      </c>
      <c r="E102" s="33" t="s">
        <v>709</v>
      </c>
      <c r="F102" s="27" t="s">
        <v>1088</v>
      </c>
      <c r="G102" s="22">
        <v>-178.5</v>
      </c>
      <c r="H102" s="22"/>
      <c r="I102" s="22"/>
    </row>
    <row r="103" spans="1:9" x14ac:dyDescent="0.25">
      <c r="A103" s="66"/>
      <c r="B103" s="23">
        <v>44777</v>
      </c>
      <c r="C103" s="24">
        <v>0.72252314814814822</v>
      </c>
      <c r="D103" s="33" t="s">
        <v>900</v>
      </c>
      <c r="E103" s="33" t="s">
        <v>709</v>
      </c>
      <c r="F103" s="27" t="s">
        <v>1090</v>
      </c>
      <c r="G103" s="22">
        <v>-83.5</v>
      </c>
      <c r="H103" s="22"/>
      <c r="I103" s="22"/>
    </row>
    <row r="104" spans="1:9" x14ac:dyDescent="0.25">
      <c r="A104" s="66"/>
      <c r="B104" s="23">
        <v>44777</v>
      </c>
      <c r="C104" s="24">
        <v>0.72361111111111109</v>
      </c>
      <c r="D104" s="33" t="s">
        <v>900</v>
      </c>
      <c r="E104" s="33" t="s">
        <v>709</v>
      </c>
      <c r="F104" s="27" t="s">
        <v>1092</v>
      </c>
      <c r="G104" s="22">
        <v>-166.5</v>
      </c>
      <c r="H104" s="22"/>
      <c r="I104" s="22"/>
    </row>
    <row r="105" spans="1:9" x14ac:dyDescent="0.25">
      <c r="A105" s="66"/>
      <c r="B105" s="23">
        <v>44777</v>
      </c>
      <c r="C105" s="24">
        <v>0.72581018518518514</v>
      </c>
      <c r="D105" s="33" t="s">
        <v>900</v>
      </c>
      <c r="E105" s="33" t="s">
        <v>709</v>
      </c>
      <c r="F105" s="27" t="s">
        <v>1094</v>
      </c>
      <c r="G105" s="22">
        <v>-130.5</v>
      </c>
      <c r="H105" s="22"/>
      <c r="I105" s="22"/>
    </row>
    <row r="106" spans="1:9" x14ac:dyDescent="0.25">
      <c r="A106" s="66"/>
      <c r="B106" s="23">
        <v>44777</v>
      </c>
      <c r="C106" s="24">
        <v>0.74413194444444442</v>
      </c>
      <c r="D106" s="33" t="s">
        <v>900</v>
      </c>
      <c r="E106" s="33" t="s">
        <v>709</v>
      </c>
      <c r="F106" s="27" t="s">
        <v>1096</v>
      </c>
      <c r="G106" s="22">
        <v>-82.5</v>
      </c>
      <c r="H106" s="22"/>
      <c r="I106" s="22"/>
    </row>
    <row r="107" spans="1:9" x14ac:dyDescent="0.25">
      <c r="A107" s="66"/>
      <c r="B107" s="23">
        <v>44777</v>
      </c>
      <c r="C107" s="24">
        <v>0.84787037037037039</v>
      </c>
      <c r="D107" s="33" t="s">
        <v>718</v>
      </c>
      <c r="E107" s="33" t="s">
        <v>709</v>
      </c>
      <c r="F107" s="27" t="s">
        <v>1098</v>
      </c>
      <c r="G107" s="22">
        <v>-132.5</v>
      </c>
      <c r="H107" s="22"/>
      <c r="I107" s="22"/>
    </row>
    <row r="108" spans="1:9" x14ac:dyDescent="0.25">
      <c r="A108" s="66"/>
      <c r="B108" s="23">
        <v>44777</v>
      </c>
      <c r="C108" s="24">
        <v>0.86671296296296296</v>
      </c>
      <c r="D108" s="33" t="s">
        <v>718</v>
      </c>
      <c r="E108" s="33" t="s">
        <v>709</v>
      </c>
      <c r="F108" s="27" t="s">
        <v>1100</v>
      </c>
      <c r="G108" s="22">
        <v>-175.5</v>
      </c>
      <c r="H108" s="22"/>
      <c r="I108" s="22"/>
    </row>
    <row r="109" spans="1:9" x14ac:dyDescent="0.25">
      <c r="A109" s="66"/>
      <c r="B109" s="72"/>
      <c r="C109" s="72"/>
      <c r="D109" s="72"/>
      <c r="E109" s="72"/>
      <c r="F109" s="72"/>
      <c r="G109" s="32">
        <f>SUM(G87:G108)</f>
        <v>-2762</v>
      </c>
      <c r="H109" s="26">
        <f>22*4.94</f>
        <v>108.68</v>
      </c>
      <c r="I109" s="32">
        <f>G109+H109</f>
        <v>-2653.32</v>
      </c>
    </row>
    <row r="110" spans="1:9" x14ac:dyDescent="0.25">
      <c r="A110" s="66" t="s">
        <v>833</v>
      </c>
      <c r="B110" s="25" t="s">
        <v>824</v>
      </c>
      <c r="C110" s="76"/>
      <c r="D110" s="76"/>
      <c r="E110" s="76"/>
      <c r="F110" s="76"/>
      <c r="G110" s="26"/>
      <c r="H110" s="22"/>
      <c r="I110" s="22"/>
    </row>
    <row r="111" spans="1:9" x14ac:dyDescent="0.25">
      <c r="A111" s="66"/>
      <c r="B111" s="23">
        <v>44774</v>
      </c>
      <c r="C111" s="24">
        <v>0.44</v>
      </c>
      <c r="D111" s="33" t="s">
        <v>719</v>
      </c>
      <c r="E111" s="33" t="s">
        <v>709</v>
      </c>
      <c r="F111" s="27" t="s">
        <v>1555</v>
      </c>
      <c r="G111" s="22">
        <v>-106.5</v>
      </c>
      <c r="H111" s="22"/>
      <c r="I111" s="22"/>
    </row>
    <row r="112" spans="1:9" x14ac:dyDescent="0.25">
      <c r="A112" s="66"/>
      <c r="B112" s="23">
        <v>44774</v>
      </c>
      <c r="C112" s="24">
        <v>0.44149305555555557</v>
      </c>
      <c r="D112" s="33" t="s">
        <v>719</v>
      </c>
      <c r="E112" s="33" t="s">
        <v>709</v>
      </c>
      <c r="F112" s="27" t="s">
        <v>1557</v>
      </c>
      <c r="G112" s="22">
        <v>-44.5</v>
      </c>
      <c r="H112" s="22"/>
      <c r="I112" s="22"/>
    </row>
    <row r="113" spans="1:9" x14ac:dyDescent="0.25">
      <c r="A113" s="66"/>
      <c r="B113" s="46">
        <v>44774</v>
      </c>
      <c r="C113" s="47">
        <v>0.90219907407407407</v>
      </c>
      <c r="D113" s="55" t="s">
        <v>720</v>
      </c>
      <c r="E113" s="55" t="s">
        <v>709</v>
      </c>
      <c r="F113" s="49" t="s">
        <v>1559</v>
      </c>
      <c r="G113" s="48">
        <f>-209+2.5</f>
        <v>-206.5</v>
      </c>
      <c r="H113" s="22"/>
      <c r="I113" s="22"/>
    </row>
    <row r="114" spans="1:9" x14ac:dyDescent="0.25">
      <c r="A114" s="66"/>
      <c r="B114" s="73" t="s">
        <v>1277</v>
      </c>
      <c r="C114" s="73"/>
      <c r="D114" s="73"/>
      <c r="E114" s="73"/>
      <c r="F114" s="73"/>
      <c r="G114" s="48"/>
      <c r="H114" s="22"/>
      <c r="I114" s="22"/>
    </row>
    <row r="115" spans="1:9" x14ac:dyDescent="0.25">
      <c r="A115" s="66"/>
      <c r="B115" s="23">
        <v>44775</v>
      </c>
      <c r="C115" s="24">
        <v>0.61821759259259257</v>
      </c>
      <c r="D115" s="33" t="s">
        <v>719</v>
      </c>
      <c r="E115" s="33" t="s">
        <v>709</v>
      </c>
      <c r="F115" s="27" t="s">
        <v>772</v>
      </c>
      <c r="G115" s="22">
        <v>-156.5</v>
      </c>
      <c r="H115" s="22"/>
      <c r="I115" s="22"/>
    </row>
    <row r="116" spans="1:9" x14ac:dyDescent="0.25">
      <c r="A116" s="66"/>
      <c r="B116" s="23">
        <v>44775</v>
      </c>
      <c r="C116" s="24">
        <v>0.80480324074074072</v>
      </c>
      <c r="D116" s="33" t="s">
        <v>720</v>
      </c>
      <c r="E116" s="33" t="s">
        <v>709</v>
      </c>
      <c r="F116" s="27" t="s">
        <v>773</v>
      </c>
      <c r="G116" s="22">
        <v>-139.5</v>
      </c>
      <c r="H116" s="22"/>
      <c r="I116" s="22"/>
    </row>
    <row r="117" spans="1:9" x14ac:dyDescent="0.25">
      <c r="A117" s="66"/>
      <c r="B117" s="23">
        <v>44775</v>
      </c>
      <c r="C117" s="24">
        <v>0.89214120370370376</v>
      </c>
      <c r="D117" s="33" t="s">
        <v>720</v>
      </c>
      <c r="E117" s="33" t="s">
        <v>709</v>
      </c>
      <c r="F117" s="27" t="s">
        <v>775</v>
      </c>
      <c r="G117" s="22">
        <v>-152.5</v>
      </c>
      <c r="H117" s="22"/>
      <c r="I117" s="22"/>
    </row>
    <row r="118" spans="1:9" x14ac:dyDescent="0.25">
      <c r="A118" s="66"/>
      <c r="B118" s="23">
        <v>44775</v>
      </c>
      <c r="C118" s="24">
        <v>0.89340277777777777</v>
      </c>
      <c r="D118" s="33" t="s">
        <v>720</v>
      </c>
      <c r="E118" s="33" t="s">
        <v>709</v>
      </c>
      <c r="F118" s="27" t="s">
        <v>777</v>
      </c>
      <c r="G118" s="22">
        <v>-77.5</v>
      </c>
      <c r="H118" s="22"/>
      <c r="I118" s="22"/>
    </row>
    <row r="119" spans="1:9" x14ac:dyDescent="0.25">
      <c r="A119" s="66"/>
      <c r="B119" s="23">
        <v>44775</v>
      </c>
      <c r="C119" s="24">
        <v>0.89513888888888893</v>
      </c>
      <c r="D119" s="33" t="s">
        <v>720</v>
      </c>
      <c r="E119" s="33" t="s">
        <v>709</v>
      </c>
      <c r="F119" s="27" t="s">
        <v>779</v>
      </c>
      <c r="G119" s="22">
        <v>-86.5</v>
      </c>
      <c r="H119" s="22"/>
      <c r="I119" s="22"/>
    </row>
    <row r="120" spans="1:9" x14ac:dyDescent="0.25">
      <c r="A120" s="66"/>
      <c r="B120" s="23">
        <v>44776</v>
      </c>
      <c r="C120" s="24">
        <v>0.35494212962962962</v>
      </c>
      <c r="D120" s="33" t="s">
        <v>719</v>
      </c>
      <c r="E120" s="33" t="s">
        <v>709</v>
      </c>
      <c r="F120" s="27" t="s">
        <v>1376</v>
      </c>
      <c r="G120" s="22">
        <v>-211.5</v>
      </c>
      <c r="H120" s="22"/>
      <c r="I120" s="22"/>
    </row>
    <row r="121" spans="1:9" x14ac:dyDescent="0.25">
      <c r="A121" s="66"/>
      <c r="B121" s="23">
        <v>44776</v>
      </c>
      <c r="C121" s="24">
        <v>0.58299768518518513</v>
      </c>
      <c r="D121" s="33" t="s">
        <v>719</v>
      </c>
      <c r="E121" s="33" t="s">
        <v>709</v>
      </c>
      <c r="F121" s="27" t="s">
        <v>1377</v>
      </c>
      <c r="G121" s="22">
        <v>-166.5</v>
      </c>
      <c r="H121" s="22"/>
      <c r="I121" s="22"/>
    </row>
    <row r="122" spans="1:9" x14ac:dyDescent="0.25">
      <c r="A122" s="66"/>
      <c r="B122" s="23">
        <v>44776</v>
      </c>
      <c r="C122" s="24">
        <v>0.60403935185185187</v>
      </c>
      <c r="D122" s="33" t="s">
        <v>719</v>
      </c>
      <c r="E122" s="33" t="s">
        <v>709</v>
      </c>
      <c r="F122" s="27" t="s">
        <v>1379</v>
      </c>
      <c r="G122" s="22">
        <v>-166.5</v>
      </c>
      <c r="H122" s="22"/>
      <c r="I122" s="22"/>
    </row>
    <row r="123" spans="1:9" x14ac:dyDescent="0.25">
      <c r="A123" s="66"/>
      <c r="B123" s="50">
        <v>44776</v>
      </c>
      <c r="C123" s="51">
        <v>0.70973379629629629</v>
      </c>
      <c r="D123" s="56" t="s">
        <v>719</v>
      </c>
      <c r="E123" s="56" t="s">
        <v>709</v>
      </c>
      <c r="F123" s="53" t="s">
        <v>1266</v>
      </c>
      <c r="G123" s="52">
        <v>-43.5</v>
      </c>
      <c r="H123" s="22"/>
      <c r="I123" s="22"/>
    </row>
    <row r="124" spans="1:9" x14ac:dyDescent="0.25">
      <c r="A124" s="66"/>
      <c r="B124" s="74" t="s">
        <v>1381</v>
      </c>
      <c r="C124" s="74"/>
      <c r="D124" s="74"/>
      <c r="E124" s="74"/>
      <c r="F124" s="74"/>
      <c r="G124" s="52"/>
      <c r="H124" s="22"/>
      <c r="I124" s="22"/>
    </row>
    <row r="125" spans="1:9" x14ac:dyDescent="0.25">
      <c r="A125" s="66"/>
      <c r="B125" s="23">
        <v>44777</v>
      </c>
      <c r="C125" s="24">
        <v>0.30344907407407407</v>
      </c>
      <c r="D125" s="33" t="s">
        <v>719</v>
      </c>
      <c r="E125" s="33" t="s">
        <v>709</v>
      </c>
      <c r="F125" s="27" t="s">
        <v>1102</v>
      </c>
      <c r="G125" s="22">
        <v>-131.5</v>
      </c>
      <c r="H125" s="22"/>
      <c r="I125" s="22"/>
    </row>
    <row r="126" spans="1:9" x14ac:dyDescent="0.25">
      <c r="A126" s="66"/>
      <c r="B126" s="42">
        <v>44777</v>
      </c>
      <c r="C126" s="43">
        <v>0.30680555555555555</v>
      </c>
      <c r="D126" s="54" t="s">
        <v>719</v>
      </c>
      <c r="E126" s="54" t="s">
        <v>709</v>
      </c>
      <c r="F126" s="45" t="s">
        <v>1266</v>
      </c>
      <c r="G126" s="45" t="s">
        <v>1627</v>
      </c>
      <c r="H126" s="22"/>
      <c r="I126" s="22"/>
    </row>
    <row r="127" spans="1:9" x14ac:dyDescent="0.25">
      <c r="A127" s="66"/>
      <c r="B127" s="75" t="s">
        <v>1626</v>
      </c>
      <c r="C127" s="75"/>
      <c r="D127" s="75"/>
      <c r="E127" s="75"/>
      <c r="F127" s="75"/>
      <c r="G127" s="45"/>
      <c r="H127" s="22"/>
      <c r="I127" s="22"/>
    </row>
    <row r="128" spans="1:9" x14ac:dyDescent="0.25">
      <c r="A128" s="66"/>
      <c r="B128" s="23">
        <v>44777</v>
      </c>
      <c r="C128" s="24">
        <v>0.35652777777777778</v>
      </c>
      <c r="D128" s="33" t="s">
        <v>719</v>
      </c>
      <c r="E128" s="33" t="s">
        <v>709</v>
      </c>
      <c r="F128" s="27" t="s">
        <v>1104</v>
      </c>
      <c r="G128" s="22">
        <v>-420.5</v>
      </c>
      <c r="H128" s="22"/>
      <c r="I128" s="22"/>
    </row>
    <row r="129" spans="1:9" x14ac:dyDescent="0.25">
      <c r="A129" s="66"/>
      <c r="B129" s="23">
        <v>44777</v>
      </c>
      <c r="C129" s="24">
        <v>0.38379629629629625</v>
      </c>
      <c r="D129" s="33" t="s">
        <v>719</v>
      </c>
      <c r="E129" s="33" t="s">
        <v>709</v>
      </c>
      <c r="F129" s="27" t="s">
        <v>1106</v>
      </c>
      <c r="G129" s="22">
        <v>-148.5</v>
      </c>
      <c r="H129" s="22"/>
      <c r="I129" s="22"/>
    </row>
    <row r="130" spans="1:9" x14ac:dyDescent="0.25">
      <c r="A130" s="66"/>
      <c r="B130" s="28">
        <v>44777</v>
      </c>
      <c r="C130" s="29">
        <v>0.68471064814814808</v>
      </c>
      <c r="D130" s="34" t="s">
        <v>719</v>
      </c>
      <c r="E130" s="34" t="s">
        <v>709</v>
      </c>
      <c r="F130" s="31" t="s">
        <v>1259</v>
      </c>
      <c r="G130" s="30">
        <v>-637.5</v>
      </c>
      <c r="H130" s="22"/>
      <c r="I130" s="22"/>
    </row>
    <row r="131" spans="1:9" x14ac:dyDescent="0.25">
      <c r="A131" s="66"/>
      <c r="B131" s="23">
        <v>44777</v>
      </c>
      <c r="C131" s="24">
        <v>0.68584490740740733</v>
      </c>
      <c r="D131" s="33" t="s">
        <v>719</v>
      </c>
      <c r="E131" s="33" t="s">
        <v>709</v>
      </c>
      <c r="F131" s="27" t="s">
        <v>1108</v>
      </c>
      <c r="G131" s="22">
        <v>-404.5</v>
      </c>
      <c r="H131" s="22"/>
      <c r="I131" s="22"/>
    </row>
    <row r="132" spans="1:9" x14ac:dyDescent="0.25">
      <c r="A132" s="66"/>
      <c r="B132" s="23">
        <v>44777</v>
      </c>
      <c r="C132" s="24">
        <v>0.72478009259259257</v>
      </c>
      <c r="D132" s="33" t="s">
        <v>901</v>
      </c>
      <c r="E132" s="33" t="s">
        <v>709</v>
      </c>
      <c r="F132" s="27" t="s">
        <v>1109</v>
      </c>
      <c r="G132" s="22">
        <v>-187.5</v>
      </c>
      <c r="H132" s="22"/>
      <c r="I132" s="22"/>
    </row>
    <row r="133" spans="1:9" x14ac:dyDescent="0.25">
      <c r="A133" s="66"/>
      <c r="B133" s="23">
        <v>44777</v>
      </c>
      <c r="C133" s="24">
        <v>0.77488425925925919</v>
      </c>
      <c r="D133" s="33" t="s">
        <v>720</v>
      </c>
      <c r="E133" s="33" t="s">
        <v>709</v>
      </c>
      <c r="F133" s="27" t="s">
        <v>1111</v>
      </c>
      <c r="G133" s="22">
        <v>-110.5</v>
      </c>
      <c r="H133" s="22"/>
      <c r="I133" s="22"/>
    </row>
    <row r="134" spans="1:9" x14ac:dyDescent="0.25">
      <c r="A134" s="66"/>
      <c r="B134" s="23">
        <v>44777</v>
      </c>
      <c r="C134" s="24">
        <v>0.77722222222222215</v>
      </c>
      <c r="D134" s="33" t="s">
        <v>720</v>
      </c>
      <c r="E134" s="33" t="s">
        <v>709</v>
      </c>
      <c r="F134" s="27" t="s">
        <v>1113</v>
      </c>
      <c r="G134" s="22">
        <v>-121.5</v>
      </c>
      <c r="H134" s="22"/>
      <c r="I134" s="22"/>
    </row>
    <row r="135" spans="1:9" x14ac:dyDescent="0.25">
      <c r="A135" s="66"/>
      <c r="B135" s="28">
        <v>44777</v>
      </c>
      <c r="C135" s="29">
        <v>0.78796296296296298</v>
      </c>
      <c r="D135" s="34" t="s">
        <v>720</v>
      </c>
      <c r="E135" s="34" t="s">
        <v>709</v>
      </c>
      <c r="F135" s="31" t="s">
        <v>1260</v>
      </c>
      <c r="G135" s="30">
        <v>-85.5</v>
      </c>
      <c r="H135" s="22"/>
      <c r="I135" s="22"/>
    </row>
    <row r="136" spans="1:9" x14ac:dyDescent="0.25">
      <c r="A136" s="66"/>
      <c r="B136" s="23">
        <v>44777</v>
      </c>
      <c r="C136" s="24">
        <v>0.78976851851851848</v>
      </c>
      <c r="D136" s="33" t="s">
        <v>720</v>
      </c>
      <c r="E136" s="33" t="s">
        <v>709</v>
      </c>
      <c r="F136" s="27" t="s">
        <v>1115</v>
      </c>
      <c r="G136" s="22">
        <v>-102.5</v>
      </c>
      <c r="H136" s="22"/>
      <c r="I136" s="22"/>
    </row>
    <row r="137" spans="1:9" x14ac:dyDescent="0.25">
      <c r="A137" s="66"/>
      <c r="B137" s="23">
        <v>44777</v>
      </c>
      <c r="C137" s="24">
        <v>0.7917939814814815</v>
      </c>
      <c r="D137" s="33" t="s">
        <v>720</v>
      </c>
      <c r="E137" s="33" t="s">
        <v>709</v>
      </c>
      <c r="F137" s="27" t="s">
        <v>1117</v>
      </c>
      <c r="G137" s="22">
        <v>-127.5</v>
      </c>
      <c r="H137" s="22"/>
      <c r="I137" s="22"/>
    </row>
    <row r="138" spans="1:9" x14ac:dyDescent="0.25">
      <c r="A138" s="66"/>
      <c r="B138" s="23">
        <v>44777</v>
      </c>
      <c r="C138" s="24">
        <v>0.8834143518518518</v>
      </c>
      <c r="D138" s="33" t="s">
        <v>720</v>
      </c>
      <c r="E138" s="33" t="s">
        <v>709</v>
      </c>
      <c r="F138" s="27" t="s">
        <v>1119</v>
      </c>
      <c r="G138" s="22">
        <v>-166.5</v>
      </c>
      <c r="H138" s="22"/>
      <c r="I138" s="22"/>
    </row>
    <row r="139" spans="1:9" x14ac:dyDescent="0.25">
      <c r="A139" s="66"/>
      <c r="B139" s="23">
        <v>44777</v>
      </c>
      <c r="C139" s="24">
        <v>0.89354166666666668</v>
      </c>
      <c r="D139" s="33" t="s">
        <v>720</v>
      </c>
      <c r="E139" s="33" t="s">
        <v>709</v>
      </c>
      <c r="F139" s="27" t="s">
        <v>1121</v>
      </c>
      <c r="G139" s="22">
        <v>-408.5</v>
      </c>
      <c r="H139" s="22"/>
      <c r="I139" s="22"/>
    </row>
    <row r="140" spans="1:9" x14ac:dyDescent="0.25">
      <c r="A140" s="66"/>
      <c r="B140" s="46">
        <v>44777</v>
      </c>
      <c r="C140" s="47">
        <v>0.90520833333333339</v>
      </c>
      <c r="D140" s="55" t="s">
        <v>720</v>
      </c>
      <c r="E140" s="55" t="s">
        <v>709</v>
      </c>
      <c r="F140" s="49" t="s">
        <v>1123</v>
      </c>
      <c r="G140" s="48">
        <f>-91+2.5</f>
        <v>-88.5</v>
      </c>
      <c r="H140" s="22"/>
      <c r="I140" s="22"/>
    </row>
    <row r="141" spans="1:9" x14ac:dyDescent="0.25">
      <c r="A141" s="66"/>
      <c r="B141" s="73" t="s">
        <v>1277</v>
      </c>
      <c r="C141" s="73"/>
      <c r="D141" s="73"/>
      <c r="E141" s="73"/>
      <c r="F141" s="73"/>
      <c r="G141" s="48"/>
      <c r="H141" s="22"/>
      <c r="I141" s="22"/>
    </row>
    <row r="142" spans="1:9" x14ac:dyDescent="0.25">
      <c r="A142" s="66"/>
      <c r="B142" s="23">
        <v>44777</v>
      </c>
      <c r="C142" s="24">
        <v>0.90664351851851854</v>
      </c>
      <c r="D142" s="33" t="s">
        <v>720</v>
      </c>
      <c r="E142" s="33" t="s">
        <v>709</v>
      </c>
      <c r="F142" s="27" t="s">
        <v>1125</v>
      </c>
      <c r="G142" s="22">
        <v>-355.5</v>
      </c>
      <c r="H142" s="22"/>
      <c r="I142" s="22"/>
    </row>
    <row r="143" spans="1:9" x14ac:dyDescent="0.25">
      <c r="A143" s="66"/>
      <c r="B143" s="23">
        <v>44777</v>
      </c>
      <c r="C143" s="24">
        <v>0.91106481481481483</v>
      </c>
      <c r="D143" s="33" t="s">
        <v>720</v>
      </c>
      <c r="E143" s="33" t="s">
        <v>709</v>
      </c>
      <c r="F143" s="27" t="s">
        <v>1127</v>
      </c>
      <c r="G143" s="22">
        <v>-184.5</v>
      </c>
      <c r="H143" s="22"/>
      <c r="I143" s="22"/>
    </row>
    <row r="144" spans="1:9" x14ac:dyDescent="0.25">
      <c r="A144" s="66"/>
      <c r="B144" s="23">
        <v>44777</v>
      </c>
      <c r="C144" s="24">
        <v>0.92212962962962963</v>
      </c>
      <c r="D144" s="33" t="s">
        <v>720</v>
      </c>
      <c r="E144" s="33" t="s">
        <v>709</v>
      </c>
      <c r="F144" s="27" t="s">
        <v>1129</v>
      </c>
      <c r="G144" s="22">
        <v>-186.5</v>
      </c>
      <c r="H144" s="22"/>
      <c r="I144" s="22"/>
    </row>
    <row r="145" spans="1:9" x14ac:dyDescent="0.25">
      <c r="A145" s="66"/>
      <c r="B145" s="23">
        <v>44777</v>
      </c>
      <c r="C145" s="24">
        <v>0.95519675925925929</v>
      </c>
      <c r="D145" s="33" t="s">
        <v>720</v>
      </c>
      <c r="E145" s="33" t="s">
        <v>709</v>
      </c>
      <c r="F145" s="27" t="s">
        <v>1131</v>
      </c>
      <c r="G145" s="22">
        <v>-714.5</v>
      </c>
      <c r="H145" s="22"/>
      <c r="I145" s="22"/>
    </row>
    <row r="146" spans="1:9" x14ac:dyDescent="0.25">
      <c r="A146" s="66"/>
      <c r="B146" s="72"/>
      <c r="C146" s="72"/>
      <c r="D146" s="72"/>
      <c r="E146" s="72"/>
      <c r="F146" s="72"/>
      <c r="G146" s="32">
        <f>SUM(G111:G145)</f>
        <v>-6140</v>
      </c>
      <c r="H146" s="26">
        <f>31*4.94</f>
        <v>153.14000000000001</v>
      </c>
      <c r="I146" s="32">
        <f>G146+H146</f>
        <v>-5986.86</v>
      </c>
    </row>
    <row r="147" spans="1:9" x14ac:dyDescent="0.25">
      <c r="A147" s="66" t="s">
        <v>833</v>
      </c>
      <c r="B147" s="25" t="s">
        <v>825</v>
      </c>
      <c r="C147" s="76"/>
      <c r="D147" s="76"/>
      <c r="E147" s="76"/>
      <c r="F147" s="76"/>
      <c r="G147" s="26"/>
      <c r="H147" s="22"/>
      <c r="I147" s="22"/>
    </row>
    <row r="148" spans="1:9" x14ac:dyDescent="0.25">
      <c r="A148" s="66"/>
      <c r="B148" s="23">
        <v>44774</v>
      </c>
      <c r="C148" s="24">
        <v>3.9189814814814809E-2</v>
      </c>
      <c r="D148" s="33" t="s">
        <v>902</v>
      </c>
      <c r="E148" s="33" t="s">
        <v>709</v>
      </c>
      <c r="F148" s="27" t="s">
        <v>1561</v>
      </c>
      <c r="G148" s="22">
        <v>-71.5</v>
      </c>
      <c r="H148" s="22"/>
      <c r="I148" s="22"/>
    </row>
    <row r="149" spans="1:9" x14ac:dyDescent="0.25">
      <c r="A149" s="66"/>
      <c r="B149" s="23">
        <v>44774</v>
      </c>
      <c r="C149" s="24">
        <v>0.48275462962962962</v>
      </c>
      <c r="D149" s="33" t="s">
        <v>721</v>
      </c>
      <c r="E149" s="33" t="s">
        <v>709</v>
      </c>
      <c r="F149" s="27" t="s">
        <v>1562</v>
      </c>
      <c r="G149" s="22">
        <v>-50.5</v>
      </c>
      <c r="H149" s="22"/>
      <c r="I149" s="22"/>
    </row>
    <row r="150" spans="1:9" x14ac:dyDescent="0.25">
      <c r="A150" s="66"/>
      <c r="B150" s="23">
        <v>44774</v>
      </c>
      <c r="C150" s="24">
        <v>0.5567361111111111</v>
      </c>
      <c r="D150" s="33" t="s">
        <v>721</v>
      </c>
      <c r="E150" s="33" t="s">
        <v>709</v>
      </c>
      <c r="F150" s="27" t="s">
        <v>1564</v>
      </c>
      <c r="G150" s="22">
        <v>-69.5</v>
      </c>
      <c r="H150" s="22"/>
      <c r="I150" s="22"/>
    </row>
    <row r="151" spans="1:9" x14ac:dyDescent="0.25">
      <c r="A151" s="66"/>
      <c r="B151" s="23">
        <v>44775</v>
      </c>
      <c r="C151" s="24">
        <v>0.45653935185185185</v>
      </c>
      <c r="D151" s="33" t="s">
        <v>721</v>
      </c>
      <c r="E151" s="33" t="s">
        <v>709</v>
      </c>
      <c r="F151" s="27" t="s">
        <v>781</v>
      </c>
      <c r="G151" s="22">
        <v>-124.5</v>
      </c>
      <c r="H151" s="22"/>
      <c r="I151" s="22"/>
    </row>
    <row r="152" spans="1:9" x14ac:dyDescent="0.25">
      <c r="A152" s="66"/>
      <c r="B152" s="23">
        <v>44775</v>
      </c>
      <c r="C152" s="24">
        <v>0.63880787037037035</v>
      </c>
      <c r="D152" s="33" t="s">
        <v>721</v>
      </c>
      <c r="E152" s="33" t="s">
        <v>709</v>
      </c>
      <c r="F152" s="27" t="s">
        <v>782</v>
      </c>
      <c r="G152" s="22">
        <v>-155.5</v>
      </c>
      <c r="H152" s="22"/>
      <c r="I152" s="22"/>
    </row>
    <row r="153" spans="1:9" x14ac:dyDescent="0.25">
      <c r="A153" s="66"/>
      <c r="B153" s="23">
        <v>44776</v>
      </c>
      <c r="C153" s="24">
        <v>0.72633101851851845</v>
      </c>
      <c r="D153" s="33" t="s">
        <v>902</v>
      </c>
      <c r="E153" s="33" t="s">
        <v>709</v>
      </c>
      <c r="F153" s="27" t="s">
        <v>1383</v>
      </c>
      <c r="G153" s="22">
        <v>-96.5</v>
      </c>
      <c r="H153" s="22"/>
      <c r="I153" s="22"/>
    </row>
    <row r="154" spans="1:9" x14ac:dyDescent="0.25">
      <c r="A154" s="66"/>
      <c r="B154" s="23">
        <v>44777</v>
      </c>
      <c r="C154" s="24">
        <v>0.78405092592592596</v>
      </c>
      <c r="D154" s="33" t="s">
        <v>721</v>
      </c>
      <c r="E154" s="33" t="s">
        <v>709</v>
      </c>
      <c r="F154" s="27" t="s">
        <v>1133</v>
      </c>
      <c r="G154" s="22">
        <v>-100.5</v>
      </c>
      <c r="H154" s="22"/>
      <c r="I154" s="22"/>
    </row>
    <row r="155" spans="1:9" x14ac:dyDescent="0.25">
      <c r="A155" s="66"/>
      <c r="B155" s="23">
        <v>44777</v>
      </c>
      <c r="C155" s="24">
        <v>0.88671296296296298</v>
      </c>
      <c r="D155" s="33" t="s">
        <v>721</v>
      </c>
      <c r="E155" s="33" t="s">
        <v>709</v>
      </c>
      <c r="F155" s="27" t="s">
        <v>1135</v>
      </c>
      <c r="G155" s="22">
        <v>-45.5</v>
      </c>
      <c r="H155" s="22"/>
      <c r="I155" s="22"/>
    </row>
    <row r="156" spans="1:9" x14ac:dyDescent="0.25">
      <c r="A156" s="66"/>
      <c r="B156" s="23">
        <v>44777</v>
      </c>
      <c r="C156" s="24">
        <v>0.96253472222222225</v>
      </c>
      <c r="D156" s="33" t="s">
        <v>721</v>
      </c>
      <c r="E156" s="33" t="s">
        <v>709</v>
      </c>
      <c r="F156" s="27" t="s">
        <v>1137</v>
      </c>
      <c r="G156" s="22">
        <v>-140.5</v>
      </c>
      <c r="H156" s="22"/>
      <c r="I156" s="22"/>
    </row>
    <row r="157" spans="1:9" x14ac:dyDescent="0.25">
      <c r="A157" s="66"/>
      <c r="B157" s="72"/>
      <c r="C157" s="72"/>
      <c r="D157" s="72"/>
      <c r="E157" s="72"/>
      <c r="F157" s="72"/>
      <c r="G157" s="32">
        <f>SUM(G148:G156)</f>
        <v>-854.5</v>
      </c>
      <c r="H157" s="26">
        <f>9*4.94</f>
        <v>44.46</v>
      </c>
      <c r="I157" s="32">
        <f>G157+H157</f>
        <v>-810.04</v>
      </c>
    </row>
    <row r="158" spans="1:9" x14ac:dyDescent="0.25">
      <c r="A158" s="66" t="s">
        <v>833</v>
      </c>
      <c r="B158" s="25" t="s">
        <v>826</v>
      </c>
      <c r="C158" s="76"/>
      <c r="D158" s="76"/>
      <c r="E158" s="76"/>
      <c r="F158" s="76"/>
      <c r="G158" s="26"/>
      <c r="H158" s="22"/>
      <c r="I158" s="22"/>
    </row>
    <row r="159" spans="1:9" x14ac:dyDescent="0.25">
      <c r="A159" s="66"/>
      <c r="B159" s="23">
        <v>44774</v>
      </c>
      <c r="C159" s="24">
        <v>0.38043981481481487</v>
      </c>
      <c r="D159" s="33" t="s">
        <v>1465</v>
      </c>
      <c r="E159" s="33" t="s">
        <v>709</v>
      </c>
      <c r="F159" s="27" t="s">
        <v>1566</v>
      </c>
      <c r="G159" s="22">
        <v>-58.5</v>
      </c>
      <c r="H159" s="22"/>
      <c r="I159" s="22"/>
    </row>
    <row r="160" spans="1:9" x14ac:dyDescent="0.25">
      <c r="A160" s="66"/>
      <c r="B160" s="46">
        <v>44774</v>
      </c>
      <c r="C160" s="47">
        <v>0.38232638888888887</v>
      </c>
      <c r="D160" s="55" t="s">
        <v>1465</v>
      </c>
      <c r="E160" s="55" t="s">
        <v>709</v>
      </c>
      <c r="F160" s="49" t="s">
        <v>1619</v>
      </c>
      <c r="G160" s="49" t="s">
        <v>1628</v>
      </c>
      <c r="H160" s="22"/>
      <c r="I160" s="22"/>
    </row>
    <row r="161" spans="1:9" x14ac:dyDescent="0.25">
      <c r="A161" s="66"/>
      <c r="B161" s="73" t="s">
        <v>1459</v>
      </c>
      <c r="C161" s="73"/>
      <c r="D161" s="73"/>
      <c r="E161" s="73"/>
      <c r="F161" s="73"/>
      <c r="G161" s="49"/>
      <c r="H161" s="22"/>
      <c r="I161" s="22"/>
    </row>
    <row r="162" spans="1:9" x14ac:dyDescent="0.25">
      <c r="A162" s="66"/>
      <c r="B162" s="46">
        <v>44774</v>
      </c>
      <c r="C162" s="47">
        <v>0.54355324074074074</v>
      </c>
      <c r="D162" s="55" t="s">
        <v>723</v>
      </c>
      <c r="E162" s="55" t="s">
        <v>709</v>
      </c>
      <c r="F162" s="49" t="s">
        <v>1620</v>
      </c>
      <c r="G162" s="49" t="s">
        <v>1629</v>
      </c>
      <c r="H162" s="22"/>
      <c r="I162" s="22"/>
    </row>
    <row r="163" spans="1:9" x14ac:dyDescent="0.25">
      <c r="A163" s="66"/>
      <c r="B163" s="73" t="s">
        <v>1459</v>
      </c>
      <c r="C163" s="73"/>
      <c r="D163" s="73"/>
      <c r="E163" s="73"/>
      <c r="F163" s="73"/>
      <c r="G163" s="49"/>
      <c r="H163" s="22"/>
      <c r="I163" s="22"/>
    </row>
    <row r="164" spans="1:9" x14ac:dyDescent="0.25">
      <c r="A164" s="66"/>
      <c r="B164" s="23">
        <v>44774</v>
      </c>
      <c r="C164" s="24">
        <v>0.79197916666666668</v>
      </c>
      <c r="D164" s="33" t="s">
        <v>1280</v>
      </c>
      <c r="E164" s="33" t="s">
        <v>709</v>
      </c>
      <c r="F164" s="27" t="s">
        <v>1568</v>
      </c>
      <c r="G164" s="22">
        <v>-108.5</v>
      </c>
      <c r="H164" s="22"/>
      <c r="I164" s="22"/>
    </row>
    <row r="165" spans="1:9" x14ac:dyDescent="0.25">
      <c r="A165" s="66"/>
      <c r="B165" s="23">
        <v>44775</v>
      </c>
      <c r="C165" s="24">
        <v>0.64399305555555553</v>
      </c>
      <c r="D165" s="33" t="s">
        <v>723</v>
      </c>
      <c r="E165" s="33" t="s">
        <v>709</v>
      </c>
      <c r="F165" s="27" t="s">
        <v>783</v>
      </c>
      <c r="G165" s="22">
        <v>-47.5</v>
      </c>
      <c r="H165" s="22"/>
      <c r="I165" s="22"/>
    </row>
    <row r="166" spans="1:9" x14ac:dyDescent="0.25">
      <c r="A166" s="66"/>
      <c r="B166" s="23">
        <v>44776</v>
      </c>
      <c r="C166" s="24">
        <v>0.5564351851851852</v>
      </c>
      <c r="D166" s="33" t="s">
        <v>723</v>
      </c>
      <c r="E166" s="33" t="s">
        <v>709</v>
      </c>
      <c r="F166" s="27" t="s">
        <v>1385</v>
      </c>
      <c r="G166" s="22">
        <v>-44.5</v>
      </c>
      <c r="H166" s="22"/>
      <c r="I166" s="22"/>
    </row>
    <row r="167" spans="1:9" x14ac:dyDescent="0.25">
      <c r="A167" s="66"/>
      <c r="B167" s="23">
        <v>44776</v>
      </c>
      <c r="C167" s="24">
        <v>0.90101851851851855</v>
      </c>
      <c r="D167" s="33" t="s">
        <v>1280</v>
      </c>
      <c r="E167" s="33" t="s">
        <v>709</v>
      </c>
      <c r="F167" s="27" t="s">
        <v>1387</v>
      </c>
      <c r="G167" s="22">
        <v>-355.5</v>
      </c>
      <c r="H167" s="22"/>
      <c r="I167" s="22"/>
    </row>
    <row r="168" spans="1:9" x14ac:dyDescent="0.25">
      <c r="A168" s="66"/>
      <c r="B168" s="23">
        <v>44777</v>
      </c>
      <c r="C168" s="24">
        <v>0.44451388888888888</v>
      </c>
      <c r="D168" s="33" t="s">
        <v>723</v>
      </c>
      <c r="E168" s="33" t="s">
        <v>709</v>
      </c>
      <c r="F168" s="27" t="s">
        <v>1139</v>
      </c>
      <c r="G168" s="22">
        <v>-694.5</v>
      </c>
      <c r="H168" s="22"/>
      <c r="I168" s="22"/>
    </row>
    <row r="169" spans="1:9" x14ac:dyDescent="0.25">
      <c r="A169" s="66"/>
      <c r="B169" s="23">
        <v>44777</v>
      </c>
      <c r="C169" s="24">
        <v>0.54395833333333332</v>
      </c>
      <c r="D169" s="33" t="s">
        <v>723</v>
      </c>
      <c r="E169" s="33" t="s">
        <v>709</v>
      </c>
      <c r="F169" s="27" t="s">
        <v>1141</v>
      </c>
      <c r="G169" s="22">
        <v>-198.5</v>
      </c>
      <c r="H169" s="22"/>
      <c r="I169" s="22"/>
    </row>
    <row r="170" spans="1:9" x14ac:dyDescent="0.25">
      <c r="A170" s="66"/>
      <c r="B170" s="23">
        <v>44777</v>
      </c>
      <c r="C170" s="24">
        <v>0.64937500000000004</v>
      </c>
      <c r="D170" s="33" t="s">
        <v>723</v>
      </c>
      <c r="E170" s="33" t="s">
        <v>709</v>
      </c>
      <c r="F170" s="27" t="s">
        <v>1143</v>
      </c>
      <c r="G170" s="22">
        <v>-87.5</v>
      </c>
      <c r="H170" s="22"/>
      <c r="I170" s="22"/>
    </row>
    <row r="171" spans="1:9" x14ac:dyDescent="0.25">
      <c r="A171" s="66"/>
      <c r="B171" s="23">
        <v>44777</v>
      </c>
      <c r="C171" s="24">
        <v>0.83174768518518516</v>
      </c>
      <c r="D171" s="33" t="s">
        <v>722</v>
      </c>
      <c r="E171" s="33" t="s">
        <v>709</v>
      </c>
      <c r="F171" s="27" t="s">
        <v>1145</v>
      </c>
      <c r="G171" s="22">
        <v>-132.5</v>
      </c>
      <c r="H171" s="22"/>
      <c r="I171" s="22"/>
    </row>
    <row r="172" spans="1:9" x14ac:dyDescent="0.25">
      <c r="A172" s="66"/>
      <c r="B172" s="23">
        <v>44777</v>
      </c>
      <c r="C172" s="24">
        <v>0.83643518518518523</v>
      </c>
      <c r="D172" s="33" t="s">
        <v>722</v>
      </c>
      <c r="E172" s="33" t="s">
        <v>709</v>
      </c>
      <c r="F172" s="27" t="s">
        <v>1147</v>
      </c>
      <c r="G172" s="22">
        <v>-93.5</v>
      </c>
      <c r="H172" s="22"/>
      <c r="I172" s="22"/>
    </row>
    <row r="173" spans="1:9" x14ac:dyDescent="0.25">
      <c r="A173" s="66"/>
      <c r="B173" s="23">
        <v>44777</v>
      </c>
      <c r="C173" s="24">
        <v>0.95068287037037036</v>
      </c>
      <c r="D173" s="33" t="s">
        <v>722</v>
      </c>
      <c r="E173" s="33" t="s">
        <v>709</v>
      </c>
      <c r="F173" s="27" t="s">
        <v>1149</v>
      </c>
      <c r="G173" s="22">
        <v>-132.5</v>
      </c>
      <c r="H173" s="22"/>
      <c r="I173" s="22"/>
    </row>
    <row r="174" spans="1:9" x14ac:dyDescent="0.25">
      <c r="A174" s="66"/>
      <c r="B174" s="72"/>
      <c r="C174" s="72"/>
      <c r="D174" s="72"/>
      <c r="E174" s="72"/>
      <c r="F174" s="72"/>
      <c r="G174" s="32">
        <f>SUM(G159:G173)</f>
        <v>-1953.5</v>
      </c>
      <c r="H174" s="26">
        <f>13*4.94</f>
        <v>64.22</v>
      </c>
      <c r="I174" s="32">
        <f>G174+H174</f>
        <v>-1889.28</v>
      </c>
    </row>
    <row r="175" spans="1:9" x14ac:dyDescent="0.25">
      <c r="A175" s="66" t="s">
        <v>833</v>
      </c>
      <c r="B175" s="25" t="s">
        <v>827</v>
      </c>
      <c r="C175" s="76"/>
      <c r="D175" s="76"/>
      <c r="E175" s="76"/>
      <c r="F175" s="76"/>
      <c r="G175" s="26"/>
      <c r="H175" s="22"/>
      <c r="I175" s="22"/>
    </row>
    <row r="176" spans="1:9" x14ac:dyDescent="0.25">
      <c r="A176" s="66"/>
      <c r="B176" s="23">
        <v>44774</v>
      </c>
      <c r="C176" s="24">
        <v>0.49523148148148149</v>
      </c>
      <c r="D176" s="33" t="s">
        <v>724</v>
      </c>
      <c r="E176" s="33" t="s">
        <v>709</v>
      </c>
      <c r="F176" s="27" t="s">
        <v>1569</v>
      </c>
      <c r="G176" s="22">
        <v>-79.5</v>
      </c>
      <c r="H176" s="22"/>
      <c r="I176" s="22"/>
    </row>
    <row r="177" spans="1:9" x14ac:dyDescent="0.25">
      <c r="A177" s="66"/>
      <c r="B177" s="23">
        <v>44774</v>
      </c>
      <c r="C177" s="24">
        <v>0.58888888888888891</v>
      </c>
      <c r="D177" s="33" t="s">
        <v>724</v>
      </c>
      <c r="E177" s="33" t="s">
        <v>709</v>
      </c>
      <c r="F177" s="27" t="s">
        <v>1571</v>
      </c>
      <c r="G177" s="22">
        <v>-44.5</v>
      </c>
      <c r="H177" s="22"/>
      <c r="I177" s="22"/>
    </row>
    <row r="178" spans="1:9" x14ac:dyDescent="0.25">
      <c r="A178" s="66"/>
      <c r="B178" s="23">
        <v>44775</v>
      </c>
      <c r="C178" s="24">
        <v>0.47609953703703706</v>
      </c>
      <c r="D178" s="33" t="s">
        <v>724</v>
      </c>
      <c r="E178" s="33" t="s">
        <v>709</v>
      </c>
      <c r="F178" s="27" t="s">
        <v>785</v>
      </c>
      <c r="G178" s="22">
        <v>-95.5</v>
      </c>
      <c r="H178" s="22"/>
      <c r="I178" s="22"/>
    </row>
    <row r="179" spans="1:9" x14ac:dyDescent="0.25">
      <c r="A179" s="66"/>
      <c r="B179" s="23">
        <v>44775</v>
      </c>
      <c r="C179" s="24">
        <v>0.75760416666666675</v>
      </c>
      <c r="D179" s="33" t="s">
        <v>724</v>
      </c>
      <c r="E179" s="33" t="s">
        <v>709</v>
      </c>
      <c r="F179" s="27" t="s">
        <v>787</v>
      </c>
      <c r="G179" s="22">
        <v>-79.5</v>
      </c>
      <c r="H179" s="22"/>
      <c r="I179" s="22"/>
    </row>
    <row r="180" spans="1:9" x14ac:dyDescent="0.25">
      <c r="A180" s="66"/>
      <c r="B180" s="23">
        <v>44775</v>
      </c>
      <c r="C180" s="24">
        <v>0.81077546296296299</v>
      </c>
      <c r="D180" s="33" t="s">
        <v>725</v>
      </c>
      <c r="E180" s="33" t="s">
        <v>709</v>
      </c>
      <c r="F180" s="27" t="s">
        <v>788</v>
      </c>
      <c r="G180" s="22">
        <v>-339.5</v>
      </c>
      <c r="H180" s="22"/>
      <c r="I180" s="22"/>
    </row>
    <row r="181" spans="1:9" x14ac:dyDescent="0.25">
      <c r="A181" s="66"/>
      <c r="B181" s="23">
        <v>44776</v>
      </c>
      <c r="C181" s="24">
        <v>0.3756944444444445</v>
      </c>
      <c r="D181" s="33" t="s">
        <v>724</v>
      </c>
      <c r="E181" s="33" t="s">
        <v>709</v>
      </c>
      <c r="F181" s="27" t="s">
        <v>1388</v>
      </c>
      <c r="G181" s="22">
        <v>-509.5</v>
      </c>
      <c r="H181" s="22"/>
      <c r="I181" s="22"/>
    </row>
    <row r="182" spans="1:9" x14ac:dyDescent="0.25">
      <c r="A182" s="66"/>
      <c r="B182" s="23">
        <v>44776</v>
      </c>
      <c r="C182" s="24">
        <v>0.44133101851851847</v>
      </c>
      <c r="D182" s="33" t="s">
        <v>724</v>
      </c>
      <c r="E182" s="33" t="s">
        <v>709</v>
      </c>
      <c r="F182" s="27" t="s">
        <v>1390</v>
      </c>
      <c r="G182" s="22">
        <v>-62.5</v>
      </c>
      <c r="H182" s="22"/>
      <c r="I182" s="22"/>
    </row>
    <row r="183" spans="1:9" x14ac:dyDescent="0.25">
      <c r="A183" s="66"/>
      <c r="B183" s="23">
        <v>44776</v>
      </c>
      <c r="C183" s="24">
        <v>0.49863425925925925</v>
      </c>
      <c r="D183" s="33" t="s">
        <v>724</v>
      </c>
      <c r="E183" s="33" t="s">
        <v>709</v>
      </c>
      <c r="F183" s="27" t="s">
        <v>1392</v>
      </c>
      <c r="G183" s="22">
        <v>-339.5</v>
      </c>
      <c r="H183" s="22"/>
      <c r="I183" s="22"/>
    </row>
    <row r="184" spans="1:9" x14ac:dyDescent="0.25">
      <c r="A184" s="66"/>
      <c r="B184" s="23">
        <v>44776</v>
      </c>
      <c r="C184" s="24">
        <v>0.59201388888888895</v>
      </c>
      <c r="D184" s="33" t="s">
        <v>724</v>
      </c>
      <c r="E184" s="33" t="s">
        <v>709</v>
      </c>
      <c r="F184" s="27" t="s">
        <v>1394</v>
      </c>
      <c r="G184" s="22">
        <v>-169.5</v>
      </c>
      <c r="H184" s="22"/>
      <c r="I184" s="22"/>
    </row>
    <row r="185" spans="1:9" x14ac:dyDescent="0.25">
      <c r="A185" s="66"/>
      <c r="B185" s="23">
        <v>44776</v>
      </c>
      <c r="C185" s="24">
        <v>0.63266203703703705</v>
      </c>
      <c r="D185" s="33" t="s">
        <v>724</v>
      </c>
      <c r="E185" s="33" t="s">
        <v>709</v>
      </c>
      <c r="F185" s="27" t="s">
        <v>1396</v>
      </c>
      <c r="G185" s="22">
        <v>-149.5</v>
      </c>
      <c r="H185" s="22"/>
      <c r="I185" s="22"/>
    </row>
    <row r="186" spans="1:9" x14ac:dyDescent="0.25">
      <c r="A186" s="66"/>
      <c r="B186" s="23">
        <v>44777</v>
      </c>
      <c r="C186" s="24">
        <v>0.43623842592592593</v>
      </c>
      <c r="D186" s="33" t="s">
        <v>724</v>
      </c>
      <c r="E186" s="33" t="s">
        <v>709</v>
      </c>
      <c r="F186" s="27" t="s">
        <v>1151</v>
      </c>
      <c r="G186" s="22">
        <v>-107.5</v>
      </c>
      <c r="H186" s="22"/>
      <c r="I186" s="22"/>
    </row>
    <row r="187" spans="1:9" x14ac:dyDescent="0.25">
      <c r="A187" s="66"/>
      <c r="B187" s="23">
        <v>44777</v>
      </c>
      <c r="C187" s="24">
        <v>0.45975694444444443</v>
      </c>
      <c r="D187" s="33" t="s">
        <v>724</v>
      </c>
      <c r="E187" s="33" t="s">
        <v>709</v>
      </c>
      <c r="F187" s="27" t="s">
        <v>1153</v>
      </c>
      <c r="G187" s="22">
        <v>-400.5</v>
      </c>
      <c r="H187" s="22"/>
      <c r="I187" s="22"/>
    </row>
    <row r="188" spans="1:9" x14ac:dyDescent="0.25">
      <c r="A188" s="66"/>
      <c r="B188" s="23">
        <v>44777</v>
      </c>
      <c r="C188" s="24">
        <v>0.47317129629629634</v>
      </c>
      <c r="D188" s="33" t="s">
        <v>724</v>
      </c>
      <c r="E188" s="33" t="s">
        <v>709</v>
      </c>
      <c r="F188" s="27" t="s">
        <v>1155</v>
      </c>
      <c r="G188" s="22">
        <v>-247.5</v>
      </c>
      <c r="H188" s="22"/>
      <c r="I188" s="22"/>
    </row>
    <row r="189" spans="1:9" x14ac:dyDescent="0.25">
      <c r="A189" s="66"/>
      <c r="B189" s="23">
        <v>44777</v>
      </c>
      <c r="C189" s="24">
        <v>0.54694444444444446</v>
      </c>
      <c r="D189" s="33" t="s">
        <v>724</v>
      </c>
      <c r="E189" s="33" t="s">
        <v>709</v>
      </c>
      <c r="F189" s="27" t="s">
        <v>1157</v>
      </c>
      <c r="G189" s="22">
        <v>-134.5</v>
      </c>
      <c r="H189" s="22"/>
      <c r="I189" s="22"/>
    </row>
    <row r="190" spans="1:9" x14ac:dyDescent="0.25">
      <c r="A190" s="66"/>
      <c r="B190" s="23">
        <v>44777</v>
      </c>
      <c r="C190" s="24">
        <v>0.66917824074074073</v>
      </c>
      <c r="D190" s="33" t="s">
        <v>724</v>
      </c>
      <c r="E190" s="33" t="s">
        <v>709</v>
      </c>
      <c r="F190" s="27" t="s">
        <v>1159</v>
      </c>
      <c r="G190" s="22">
        <v>-317.5</v>
      </c>
      <c r="H190" s="22"/>
      <c r="I190" s="22"/>
    </row>
    <row r="191" spans="1:9" x14ac:dyDescent="0.25">
      <c r="A191" s="66"/>
      <c r="B191" s="23">
        <v>44777</v>
      </c>
      <c r="C191" s="24">
        <v>0.73466435185185175</v>
      </c>
      <c r="D191" s="33" t="s">
        <v>724</v>
      </c>
      <c r="E191" s="33" t="s">
        <v>709</v>
      </c>
      <c r="F191" s="27" t="s">
        <v>1161</v>
      </c>
      <c r="G191" s="22">
        <v>-174.5</v>
      </c>
      <c r="H191" s="22"/>
      <c r="I191" s="22"/>
    </row>
    <row r="192" spans="1:9" x14ac:dyDescent="0.25">
      <c r="A192" s="66"/>
      <c r="B192" s="23">
        <v>44777</v>
      </c>
      <c r="C192" s="24">
        <v>0.74481481481481471</v>
      </c>
      <c r="D192" s="33" t="s">
        <v>724</v>
      </c>
      <c r="E192" s="33" t="s">
        <v>709</v>
      </c>
      <c r="F192" s="27" t="s">
        <v>1163</v>
      </c>
      <c r="G192" s="22">
        <v>-457.5</v>
      </c>
      <c r="H192" s="22"/>
      <c r="I192" s="22"/>
    </row>
    <row r="193" spans="1:9" x14ac:dyDescent="0.25">
      <c r="A193" s="66"/>
      <c r="B193" s="23">
        <v>44777</v>
      </c>
      <c r="C193" s="24">
        <v>0.74745370370370379</v>
      </c>
      <c r="D193" s="33" t="s">
        <v>724</v>
      </c>
      <c r="E193" s="33" t="s">
        <v>709</v>
      </c>
      <c r="F193" s="27" t="s">
        <v>1165</v>
      </c>
      <c r="G193" s="22">
        <v>-227.5</v>
      </c>
      <c r="H193" s="22"/>
      <c r="I193" s="22"/>
    </row>
    <row r="194" spans="1:9" x14ac:dyDescent="0.25">
      <c r="A194" s="66"/>
      <c r="B194" s="23">
        <v>44777</v>
      </c>
      <c r="C194" s="24">
        <v>0.75031250000000005</v>
      </c>
      <c r="D194" s="33" t="s">
        <v>724</v>
      </c>
      <c r="E194" s="33" t="s">
        <v>709</v>
      </c>
      <c r="F194" s="27" t="s">
        <v>1167</v>
      </c>
      <c r="G194" s="22">
        <v>-420.5</v>
      </c>
      <c r="H194" s="22"/>
      <c r="I194" s="22"/>
    </row>
    <row r="195" spans="1:9" x14ac:dyDescent="0.25">
      <c r="A195" s="66"/>
      <c r="B195" s="23">
        <v>44777</v>
      </c>
      <c r="C195" s="24">
        <v>0.76312500000000005</v>
      </c>
      <c r="D195" s="33" t="s">
        <v>725</v>
      </c>
      <c r="E195" s="33" t="s">
        <v>709</v>
      </c>
      <c r="F195" s="27" t="s">
        <v>1169</v>
      </c>
      <c r="G195" s="22">
        <v>-63.5</v>
      </c>
      <c r="H195" s="22"/>
      <c r="I195" s="22"/>
    </row>
    <row r="196" spans="1:9" x14ac:dyDescent="0.25">
      <c r="A196" s="66"/>
      <c r="B196" s="23">
        <v>44777</v>
      </c>
      <c r="C196" s="24">
        <v>0.83163194444444455</v>
      </c>
      <c r="D196" s="33" t="s">
        <v>725</v>
      </c>
      <c r="E196" s="33" t="s">
        <v>709</v>
      </c>
      <c r="F196" s="27" t="s">
        <v>1171</v>
      </c>
      <c r="G196" s="22">
        <v>-96.5</v>
      </c>
      <c r="H196" s="22"/>
      <c r="I196" s="22"/>
    </row>
    <row r="197" spans="1:9" x14ac:dyDescent="0.25">
      <c r="A197" s="66"/>
      <c r="B197" s="23">
        <v>44777</v>
      </c>
      <c r="C197" s="24">
        <v>0.8548958333333333</v>
      </c>
      <c r="D197" s="33" t="s">
        <v>725</v>
      </c>
      <c r="E197" s="33" t="s">
        <v>709</v>
      </c>
      <c r="F197" s="27" t="s">
        <v>1173</v>
      </c>
      <c r="G197" s="22">
        <v>-383.5</v>
      </c>
      <c r="H197" s="22"/>
      <c r="I197" s="22"/>
    </row>
    <row r="198" spans="1:9" x14ac:dyDescent="0.25">
      <c r="A198" s="66"/>
      <c r="B198" s="23">
        <v>44777</v>
      </c>
      <c r="C198" s="24">
        <v>0.87284722222222222</v>
      </c>
      <c r="D198" s="33" t="s">
        <v>725</v>
      </c>
      <c r="E198" s="33" t="s">
        <v>709</v>
      </c>
      <c r="F198" s="27" t="s">
        <v>1175</v>
      </c>
      <c r="G198" s="22">
        <v>-65.5</v>
      </c>
      <c r="H198" s="22"/>
      <c r="I198" s="22"/>
    </row>
    <row r="199" spans="1:9" x14ac:dyDescent="0.25">
      <c r="A199" s="66"/>
      <c r="B199" s="23">
        <v>44777</v>
      </c>
      <c r="C199" s="24">
        <v>0.87611111111111117</v>
      </c>
      <c r="D199" s="33" t="s">
        <v>725</v>
      </c>
      <c r="E199" s="33" t="s">
        <v>709</v>
      </c>
      <c r="F199" s="27" t="s">
        <v>1177</v>
      </c>
      <c r="G199" s="22">
        <v>-84.5</v>
      </c>
      <c r="H199" s="22"/>
      <c r="I199" s="22"/>
    </row>
    <row r="200" spans="1:9" x14ac:dyDescent="0.25">
      <c r="A200" s="66"/>
      <c r="B200" s="23">
        <v>44777</v>
      </c>
      <c r="C200" s="24">
        <v>0.89748842592592604</v>
      </c>
      <c r="D200" s="33" t="s">
        <v>725</v>
      </c>
      <c r="E200" s="33" t="s">
        <v>709</v>
      </c>
      <c r="F200" s="27" t="s">
        <v>1179</v>
      </c>
      <c r="G200" s="22">
        <v>-239.5</v>
      </c>
      <c r="H200" s="22"/>
      <c r="I200" s="22"/>
    </row>
    <row r="201" spans="1:9" x14ac:dyDescent="0.25">
      <c r="A201" s="66"/>
      <c r="B201" s="23">
        <v>44777</v>
      </c>
      <c r="C201" s="24">
        <v>0.90196759259259263</v>
      </c>
      <c r="D201" s="33" t="s">
        <v>725</v>
      </c>
      <c r="E201" s="33" t="s">
        <v>709</v>
      </c>
      <c r="F201" s="27" t="s">
        <v>1181</v>
      </c>
      <c r="G201" s="22">
        <v>-156.5</v>
      </c>
      <c r="H201" s="22"/>
      <c r="I201" s="22"/>
    </row>
    <row r="202" spans="1:9" x14ac:dyDescent="0.25">
      <c r="A202" s="66"/>
      <c r="B202" s="23">
        <v>44777</v>
      </c>
      <c r="C202" s="24">
        <v>0.90767361111111111</v>
      </c>
      <c r="D202" s="33" t="s">
        <v>725</v>
      </c>
      <c r="E202" s="33" t="s">
        <v>709</v>
      </c>
      <c r="F202" s="27" t="s">
        <v>1183</v>
      </c>
      <c r="G202" s="22">
        <v>-109.5</v>
      </c>
      <c r="H202" s="22"/>
      <c r="I202" s="22"/>
    </row>
    <row r="203" spans="1:9" x14ac:dyDescent="0.25">
      <c r="A203" s="66"/>
      <c r="B203" s="28">
        <v>44777</v>
      </c>
      <c r="C203" s="29">
        <v>0.91634259259259254</v>
      </c>
      <c r="D203" s="34" t="s">
        <v>725</v>
      </c>
      <c r="E203" s="34" t="s">
        <v>709</v>
      </c>
      <c r="F203" s="31" t="s">
        <v>1262</v>
      </c>
      <c r="G203" s="30">
        <v>-174.5</v>
      </c>
      <c r="H203" s="22"/>
      <c r="I203" s="22"/>
    </row>
    <row r="204" spans="1:9" x14ac:dyDescent="0.25">
      <c r="A204" s="66"/>
      <c r="B204" s="23">
        <v>44777</v>
      </c>
      <c r="C204" s="24">
        <v>0.95599537037037041</v>
      </c>
      <c r="D204" s="33" t="s">
        <v>725</v>
      </c>
      <c r="E204" s="33" t="s">
        <v>709</v>
      </c>
      <c r="F204" s="27" t="s">
        <v>1185</v>
      </c>
      <c r="G204" s="22">
        <v>-136.5</v>
      </c>
      <c r="H204" s="22"/>
      <c r="I204" s="22"/>
    </row>
    <row r="205" spans="1:9" x14ac:dyDescent="0.25">
      <c r="A205" s="66"/>
      <c r="B205" s="23">
        <v>44777</v>
      </c>
      <c r="C205" s="24">
        <v>0.95888888888888879</v>
      </c>
      <c r="D205" s="33" t="s">
        <v>725</v>
      </c>
      <c r="E205" s="33" t="s">
        <v>709</v>
      </c>
      <c r="F205" s="27" t="s">
        <v>1187</v>
      </c>
      <c r="G205" s="22">
        <v>-127.5</v>
      </c>
      <c r="H205" s="22"/>
      <c r="I205" s="22"/>
    </row>
    <row r="206" spans="1:9" x14ac:dyDescent="0.25">
      <c r="A206" s="66"/>
      <c r="B206" s="72"/>
      <c r="C206" s="72"/>
      <c r="D206" s="72"/>
      <c r="E206" s="72"/>
      <c r="F206" s="72"/>
      <c r="G206" s="32">
        <f>SUM(G176:G205)</f>
        <v>-5994</v>
      </c>
      <c r="H206" s="26">
        <f>30*4.94</f>
        <v>148.20000000000002</v>
      </c>
      <c r="I206" s="32">
        <f>G206+H206</f>
        <v>-5845.8</v>
      </c>
    </row>
    <row r="207" spans="1:9" x14ac:dyDescent="0.25">
      <c r="A207" s="66" t="s">
        <v>833</v>
      </c>
      <c r="B207" s="25" t="s">
        <v>828</v>
      </c>
      <c r="C207" s="76"/>
      <c r="D207" s="76"/>
      <c r="E207" s="76"/>
      <c r="F207" s="76"/>
      <c r="G207" s="26"/>
      <c r="H207" s="22"/>
      <c r="I207" s="22"/>
    </row>
    <row r="208" spans="1:9" x14ac:dyDescent="0.25">
      <c r="A208" s="66"/>
      <c r="B208" s="23">
        <v>44774</v>
      </c>
      <c r="C208" s="24">
        <v>0.3946527777777778</v>
      </c>
      <c r="D208" s="33" t="s">
        <v>726</v>
      </c>
      <c r="E208" s="33" t="s">
        <v>709</v>
      </c>
      <c r="F208" s="27" t="s">
        <v>1573</v>
      </c>
      <c r="G208" s="22">
        <v>-445.5</v>
      </c>
      <c r="H208" s="22"/>
      <c r="I208" s="22"/>
    </row>
    <row r="209" spans="1:9" x14ac:dyDescent="0.25">
      <c r="A209" s="66"/>
      <c r="B209" s="23">
        <v>44774</v>
      </c>
      <c r="C209" s="24">
        <v>0.39694444444444449</v>
      </c>
      <c r="D209" s="33" t="s">
        <v>726</v>
      </c>
      <c r="E209" s="33" t="s">
        <v>709</v>
      </c>
      <c r="F209" s="27" t="s">
        <v>1575</v>
      </c>
      <c r="G209" s="22">
        <v>-689.5</v>
      </c>
      <c r="H209" s="22"/>
      <c r="I209" s="22"/>
    </row>
    <row r="210" spans="1:9" x14ac:dyDescent="0.25">
      <c r="A210" s="66"/>
      <c r="B210" s="28">
        <v>44774</v>
      </c>
      <c r="C210" s="29">
        <v>0.41500000000000004</v>
      </c>
      <c r="D210" s="34" t="s">
        <v>726</v>
      </c>
      <c r="E210" s="34" t="s">
        <v>709</v>
      </c>
      <c r="F210" s="31" t="s">
        <v>1612</v>
      </c>
      <c r="G210" s="30">
        <v>-120.5</v>
      </c>
      <c r="H210" s="22"/>
      <c r="I210" s="22"/>
    </row>
    <row r="211" spans="1:9" x14ac:dyDescent="0.25">
      <c r="A211" s="66"/>
      <c r="B211" s="23">
        <v>44774</v>
      </c>
      <c r="C211" s="24">
        <v>0.41615740740740742</v>
      </c>
      <c r="D211" s="33" t="s">
        <v>726</v>
      </c>
      <c r="E211" s="33" t="s">
        <v>709</v>
      </c>
      <c r="F211" s="27" t="s">
        <v>1576</v>
      </c>
      <c r="G211" s="22">
        <v>-129.5</v>
      </c>
      <c r="H211" s="22"/>
      <c r="I211" s="22"/>
    </row>
    <row r="212" spans="1:9" x14ac:dyDescent="0.25">
      <c r="A212" s="66"/>
      <c r="B212" s="23">
        <v>44774</v>
      </c>
      <c r="C212" s="24">
        <v>0.4230902777777778</v>
      </c>
      <c r="D212" s="33" t="s">
        <v>726</v>
      </c>
      <c r="E212" s="33" t="s">
        <v>709</v>
      </c>
      <c r="F212" s="27" t="s">
        <v>1577</v>
      </c>
      <c r="G212" s="22">
        <v>-135.5</v>
      </c>
      <c r="H212" s="22"/>
      <c r="I212" s="22"/>
    </row>
    <row r="213" spans="1:9" x14ac:dyDescent="0.25">
      <c r="A213" s="66"/>
      <c r="B213" s="23">
        <v>44774</v>
      </c>
      <c r="C213" s="24">
        <v>0.55296296296296299</v>
      </c>
      <c r="D213" s="33" t="s">
        <v>715</v>
      </c>
      <c r="E213" s="33" t="s">
        <v>709</v>
      </c>
      <c r="F213" s="27" t="s">
        <v>1579</v>
      </c>
      <c r="G213" s="22">
        <v>-304.5</v>
      </c>
      <c r="H213" s="22"/>
      <c r="I213" s="22"/>
    </row>
    <row r="214" spans="1:9" x14ac:dyDescent="0.25">
      <c r="A214" s="66"/>
      <c r="B214" s="28">
        <v>44774</v>
      </c>
      <c r="C214" s="29">
        <v>0.66849537037037043</v>
      </c>
      <c r="D214" s="34" t="s">
        <v>726</v>
      </c>
      <c r="E214" s="34" t="s">
        <v>709</v>
      </c>
      <c r="F214" s="31" t="s">
        <v>1613</v>
      </c>
      <c r="G214" s="30">
        <v>-98.5</v>
      </c>
      <c r="H214" s="22"/>
      <c r="I214" s="22"/>
    </row>
    <row r="215" spans="1:9" x14ac:dyDescent="0.25">
      <c r="A215" s="66"/>
      <c r="B215" s="28">
        <v>44774</v>
      </c>
      <c r="C215" s="29">
        <v>0.76611111111111108</v>
      </c>
      <c r="D215" s="34" t="s">
        <v>726</v>
      </c>
      <c r="E215" s="34" t="s">
        <v>709</v>
      </c>
      <c r="F215" s="31" t="s">
        <v>1614</v>
      </c>
      <c r="G215" s="30">
        <v>-189.5</v>
      </c>
      <c r="H215" s="22"/>
      <c r="I215" s="22"/>
    </row>
    <row r="216" spans="1:9" x14ac:dyDescent="0.25">
      <c r="A216" s="66"/>
      <c r="B216" s="23">
        <v>44775</v>
      </c>
      <c r="C216" s="24">
        <v>0.44637731481481485</v>
      </c>
      <c r="D216" s="33" t="s">
        <v>726</v>
      </c>
      <c r="E216" s="33" t="s">
        <v>709</v>
      </c>
      <c r="F216" s="27" t="s">
        <v>790</v>
      </c>
      <c r="G216" s="22">
        <v>-131.5</v>
      </c>
      <c r="H216" s="22"/>
      <c r="I216" s="22"/>
    </row>
    <row r="217" spans="1:9" x14ac:dyDescent="0.25">
      <c r="A217" s="66"/>
      <c r="B217" s="23">
        <v>44775</v>
      </c>
      <c r="C217" s="24">
        <v>0.75474537037037026</v>
      </c>
      <c r="D217" s="33" t="s">
        <v>727</v>
      </c>
      <c r="E217" s="33" t="s">
        <v>709</v>
      </c>
      <c r="F217" s="27" t="s">
        <v>791</v>
      </c>
      <c r="G217" s="22">
        <v>-56.5</v>
      </c>
      <c r="H217" s="22"/>
      <c r="I217" s="22"/>
    </row>
    <row r="218" spans="1:9" x14ac:dyDescent="0.25">
      <c r="A218" s="66"/>
      <c r="B218" s="23">
        <v>44775</v>
      </c>
      <c r="C218" s="24">
        <v>0.82521990740740747</v>
      </c>
      <c r="D218" s="33" t="s">
        <v>727</v>
      </c>
      <c r="E218" s="33" t="s">
        <v>709</v>
      </c>
      <c r="F218" s="27" t="s">
        <v>793</v>
      </c>
      <c r="G218" s="22">
        <v>-85.5</v>
      </c>
      <c r="H218" s="22"/>
      <c r="I218" s="22"/>
    </row>
    <row r="219" spans="1:9" x14ac:dyDescent="0.25">
      <c r="A219" s="66"/>
      <c r="B219" s="23">
        <v>44775</v>
      </c>
      <c r="C219" s="24">
        <v>0.82614583333333336</v>
      </c>
      <c r="D219" s="33" t="s">
        <v>727</v>
      </c>
      <c r="E219" s="33" t="s">
        <v>709</v>
      </c>
      <c r="F219" s="27" t="s">
        <v>794</v>
      </c>
      <c r="G219" s="22">
        <v>-45.5</v>
      </c>
      <c r="H219" s="22"/>
      <c r="I219" s="22"/>
    </row>
    <row r="220" spans="1:9" x14ac:dyDescent="0.25">
      <c r="A220" s="66"/>
      <c r="B220" s="28">
        <v>44776</v>
      </c>
      <c r="C220" s="29">
        <v>0.48501157407407408</v>
      </c>
      <c r="D220" s="34" t="s">
        <v>726</v>
      </c>
      <c r="E220" s="34" t="s">
        <v>709</v>
      </c>
      <c r="F220" s="31" t="s">
        <v>1452</v>
      </c>
      <c r="G220" s="30">
        <v>-165.5</v>
      </c>
      <c r="H220" s="22"/>
      <c r="I220" s="22"/>
    </row>
    <row r="221" spans="1:9" x14ac:dyDescent="0.25">
      <c r="A221" s="66"/>
      <c r="B221" s="23">
        <v>44776</v>
      </c>
      <c r="C221" s="24">
        <v>0.50049768518518511</v>
      </c>
      <c r="D221" s="33" t="s">
        <v>726</v>
      </c>
      <c r="E221" s="33" t="s">
        <v>709</v>
      </c>
      <c r="F221" s="27" t="s">
        <v>1398</v>
      </c>
      <c r="G221" s="22">
        <v>-189.5</v>
      </c>
      <c r="H221" s="22"/>
      <c r="I221" s="22"/>
    </row>
    <row r="222" spans="1:9" x14ac:dyDescent="0.25">
      <c r="A222" s="66"/>
      <c r="B222" s="28">
        <v>44776</v>
      </c>
      <c r="C222" s="29">
        <v>0.57690972222222225</v>
      </c>
      <c r="D222" s="34" t="s">
        <v>726</v>
      </c>
      <c r="E222" s="34" t="s">
        <v>709</v>
      </c>
      <c r="F222" s="31" t="s">
        <v>1453</v>
      </c>
      <c r="G222" s="30">
        <v>-93.5</v>
      </c>
      <c r="H222" s="22"/>
      <c r="I222" s="22"/>
    </row>
    <row r="223" spans="1:9" x14ac:dyDescent="0.25">
      <c r="A223" s="66"/>
      <c r="B223" s="23">
        <v>44776</v>
      </c>
      <c r="C223" s="24">
        <v>0.61689814814814814</v>
      </c>
      <c r="D223" s="33" t="s">
        <v>726</v>
      </c>
      <c r="E223" s="33" t="s">
        <v>709</v>
      </c>
      <c r="F223" s="27" t="s">
        <v>1400</v>
      </c>
      <c r="G223" s="22">
        <v>-130.5</v>
      </c>
      <c r="H223" s="22"/>
      <c r="I223" s="22"/>
    </row>
    <row r="224" spans="1:9" x14ac:dyDescent="0.25">
      <c r="A224" s="66"/>
      <c r="B224" s="28">
        <v>44776</v>
      </c>
      <c r="C224" s="29">
        <v>0.83616898148148155</v>
      </c>
      <c r="D224" s="34" t="s">
        <v>903</v>
      </c>
      <c r="E224" s="34" t="s">
        <v>709</v>
      </c>
      <c r="F224" s="31" t="s">
        <v>1455</v>
      </c>
      <c r="G224" s="30">
        <v>-44.5</v>
      </c>
      <c r="H224" s="22"/>
      <c r="I224" s="22"/>
    </row>
    <row r="225" spans="1:9" x14ac:dyDescent="0.25">
      <c r="A225" s="66"/>
      <c r="B225" s="23">
        <v>44777</v>
      </c>
      <c r="C225" s="24">
        <v>0.30152777777777778</v>
      </c>
      <c r="D225" s="33" t="s">
        <v>727</v>
      </c>
      <c r="E225" s="33" t="s">
        <v>709</v>
      </c>
      <c r="F225" s="27" t="s">
        <v>1189</v>
      </c>
      <c r="G225" s="22">
        <v>-106.5</v>
      </c>
      <c r="H225" s="22"/>
      <c r="I225" s="22"/>
    </row>
    <row r="226" spans="1:9" x14ac:dyDescent="0.25">
      <c r="A226" s="66"/>
      <c r="B226" s="23">
        <v>44777</v>
      </c>
      <c r="C226" s="24">
        <v>0.38696759259259261</v>
      </c>
      <c r="D226" s="33" t="s">
        <v>726</v>
      </c>
      <c r="E226" s="33" t="s">
        <v>709</v>
      </c>
      <c r="F226" s="27" t="s">
        <v>1191</v>
      </c>
      <c r="G226" s="22">
        <v>-151.5</v>
      </c>
      <c r="H226" s="22"/>
      <c r="I226" s="22"/>
    </row>
    <row r="227" spans="1:9" x14ac:dyDescent="0.25">
      <c r="A227" s="66"/>
      <c r="B227" s="28">
        <v>44777</v>
      </c>
      <c r="C227" s="29">
        <v>0.39739583333333334</v>
      </c>
      <c r="D227" s="34" t="s">
        <v>726</v>
      </c>
      <c r="E227" s="34" t="s">
        <v>709</v>
      </c>
      <c r="F227" s="31" t="s">
        <v>1264</v>
      </c>
      <c r="G227" s="30">
        <v>-160.5</v>
      </c>
      <c r="H227" s="22"/>
      <c r="I227" s="22"/>
    </row>
    <row r="228" spans="1:9" x14ac:dyDescent="0.25">
      <c r="A228" s="66"/>
      <c r="B228" s="23">
        <v>44777</v>
      </c>
      <c r="C228" s="24">
        <v>0.41379629629629627</v>
      </c>
      <c r="D228" s="33" t="s">
        <v>726</v>
      </c>
      <c r="E228" s="33" t="s">
        <v>709</v>
      </c>
      <c r="F228" s="27" t="s">
        <v>1193</v>
      </c>
      <c r="G228" s="22">
        <v>-44.5</v>
      </c>
      <c r="H228" s="22"/>
      <c r="I228" s="22"/>
    </row>
    <row r="229" spans="1:9" x14ac:dyDescent="0.25">
      <c r="A229" s="66"/>
      <c r="B229" s="46">
        <v>44777</v>
      </c>
      <c r="C229" s="47">
        <v>0.54331018518518526</v>
      </c>
      <c r="D229" s="55" t="s">
        <v>726</v>
      </c>
      <c r="E229" s="55" t="s">
        <v>709</v>
      </c>
      <c r="F229" s="49" t="s">
        <v>1195</v>
      </c>
      <c r="G229" s="48">
        <f>-711.5+1</f>
        <v>-710.5</v>
      </c>
      <c r="H229" s="22"/>
      <c r="I229" s="22"/>
    </row>
    <row r="230" spans="1:9" x14ac:dyDescent="0.25">
      <c r="A230" s="66"/>
      <c r="B230" s="73" t="s">
        <v>1278</v>
      </c>
      <c r="C230" s="73"/>
      <c r="D230" s="73"/>
      <c r="E230" s="73"/>
      <c r="F230" s="73"/>
      <c r="G230" s="48"/>
      <c r="H230" s="22"/>
      <c r="I230" s="22"/>
    </row>
    <row r="231" spans="1:9" x14ac:dyDescent="0.25">
      <c r="A231" s="66"/>
      <c r="B231" s="23">
        <v>44777</v>
      </c>
      <c r="C231" s="24">
        <v>0.54607638888888888</v>
      </c>
      <c r="D231" s="33" t="s">
        <v>726</v>
      </c>
      <c r="E231" s="33" t="s">
        <v>709</v>
      </c>
      <c r="F231" s="27" t="s">
        <v>1197</v>
      </c>
      <c r="G231" s="22">
        <v>-53.5</v>
      </c>
      <c r="H231" s="22"/>
      <c r="I231" s="22"/>
    </row>
    <row r="232" spans="1:9" x14ac:dyDescent="0.25">
      <c r="A232" s="66"/>
      <c r="B232" s="23">
        <v>44777</v>
      </c>
      <c r="C232" s="24">
        <v>0.63260416666666663</v>
      </c>
      <c r="D232" s="33" t="s">
        <v>726</v>
      </c>
      <c r="E232" s="33" t="s">
        <v>709</v>
      </c>
      <c r="F232" s="27" t="s">
        <v>1199</v>
      </c>
      <c r="G232" s="22">
        <v>-137.5</v>
      </c>
      <c r="H232" s="22"/>
      <c r="I232" s="22"/>
    </row>
    <row r="233" spans="1:9" x14ac:dyDescent="0.25">
      <c r="A233" s="66"/>
      <c r="B233" s="23">
        <v>44777</v>
      </c>
      <c r="C233" s="24">
        <v>0.63569444444444445</v>
      </c>
      <c r="D233" s="33" t="s">
        <v>726</v>
      </c>
      <c r="E233" s="33" t="s">
        <v>709</v>
      </c>
      <c r="F233" s="27" t="s">
        <v>1201</v>
      </c>
      <c r="G233" s="22">
        <v>-95.5</v>
      </c>
      <c r="H233" s="22"/>
      <c r="I233" s="22"/>
    </row>
    <row r="234" spans="1:9" x14ac:dyDescent="0.25">
      <c r="A234" s="66"/>
      <c r="B234" s="23">
        <v>44777</v>
      </c>
      <c r="C234" s="24">
        <v>0.66092592592592592</v>
      </c>
      <c r="D234" s="33" t="s">
        <v>726</v>
      </c>
      <c r="E234" s="33" t="s">
        <v>709</v>
      </c>
      <c r="F234" s="27" t="s">
        <v>1203</v>
      </c>
      <c r="G234" s="22">
        <v>-167.5</v>
      </c>
      <c r="H234" s="22"/>
      <c r="I234" s="22"/>
    </row>
    <row r="235" spans="1:9" x14ac:dyDescent="0.25">
      <c r="A235" s="66"/>
      <c r="B235" s="72"/>
      <c r="C235" s="72"/>
      <c r="D235" s="72"/>
      <c r="E235" s="72"/>
      <c r="F235" s="72"/>
      <c r="G235" s="32">
        <f>SUM(G208:G234)</f>
        <v>-4683</v>
      </c>
      <c r="H235" s="26">
        <f>26*4.94</f>
        <v>128.44</v>
      </c>
      <c r="I235" s="32">
        <f>G235+H235</f>
        <v>-4554.5600000000004</v>
      </c>
    </row>
    <row r="236" spans="1:9" x14ac:dyDescent="0.25">
      <c r="A236" s="66" t="s">
        <v>833</v>
      </c>
      <c r="B236" s="25" t="s">
        <v>829</v>
      </c>
      <c r="C236" s="76"/>
      <c r="D236" s="76"/>
      <c r="E236" s="76"/>
      <c r="F236" s="76"/>
      <c r="G236" s="26"/>
      <c r="H236" s="22"/>
      <c r="I236" s="22"/>
    </row>
    <row r="237" spans="1:9" x14ac:dyDescent="0.25">
      <c r="A237" s="66"/>
      <c r="B237" s="23">
        <v>44774</v>
      </c>
      <c r="C237" s="24">
        <v>0.35770833333333335</v>
      </c>
      <c r="D237" s="33" t="s">
        <v>728</v>
      </c>
      <c r="E237" s="33" t="s">
        <v>709</v>
      </c>
      <c r="F237" s="27" t="s">
        <v>1580</v>
      </c>
      <c r="G237" s="22">
        <v>-55.5</v>
      </c>
      <c r="H237" s="22"/>
      <c r="I237" s="22"/>
    </row>
    <row r="238" spans="1:9" x14ac:dyDescent="0.25">
      <c r="A238" s="66"/>
      <c r="B238" s="23">
        <v>44774</v>
      </c>
      <c r="C238" s="24">
        <v>0.46875</v>
      </c>
      <c r="D238" s="33" t="s">
        <v>728</v>
      </c>
      <c r="E238" s="33" t="s">
        <v>709</v>
      </c>
      <c r="F238" s="27" t="s">
        <v>1581</v>
      </c>
      <c r="G238" s="22">
        <v>-116.5</v>
      </c>
      <c r="H238" s="22"/>
      <c r="I238" s="22"/>
    </row>
    <row r="239" spans="1:9" x14ac:dyDescent="0.25">
      <c r="A239" s="66"/>
      <c r="B239" s="23">
        <v>44774</v>
      </c>
      <c r="C239" s="24">
        <v>0.50885416666666672</v>
      </c>
      <c r="D239" s="33" t="s">
        <v>728</v>
      </c>
      <c r="E239" s="33" t="s">
        <v>709</v>
      </c>
      <c r="F239" s="27" t="s">
        <v>1582</v>
      </c>
      <c r="G239" s="22">
        <v>-239.5</v>
      </c>
      <c r="H239" s="22"/>
      <c r="I239" s="22"/>
    </row>
    <row r="240" spans="1:9" x14ac:dyDescent="0.25">
      <c r="A240" s="66"/>
      <c r="B240" s="23">
        <v>44774</v>
      </c>
      <c r="C240" s="24">
        <v>0.51026620370370368</v>
      </c>
      <c r="D240" s="33" t="s">
        <v>728</v>
      </c>
      <c r="E240" s="33" t="s">
        <v>709</v>
      </c>
      <c r="F240" s="27" t="s">
        <v>1583</v>
      </c>
      <c r="G240" s="22">
        <v>-44.5</v>
      </c>
      <c r="H240" s="22"/>
      <c r="I240" s="22"/>
    </row>
    <row r="241" spans="1:9" x14ac:dyDescent="0.25">
      <c r="A241" s="66"/>
      <c r="B241" s="42">
        <v>44774</v>
      </c>
      <c r="C241" s="43">
        <v>0.53531249999999997</v>
      </c>
      <c r="D241" s="54" t="s">
        <v>728</v>
      </c>
      <c r="E241" s="54" t="s">
        <v>709</v>
      </c>
      <c r="F241" s="45" t="s">
        <v>1621</v>
      </c>
      <c r="G241" s="44">
        <v>-120.5</v>
      </c>
      <c r="H241" s="22"/>
      <c r="I241" s="22"/>
    </row>
    <row r="242" spans="1:9" x14ac:dyDescent="0.25">
      <c r="A242" s="66"/>
      <c r="B242" s="23">
        <v>44774</v>
      </c>
      <c r="C242" s="24">
        <v>0.61515046296296294</v>
      </c>
      <c r="D242" s="33" t="s">
        <v>728</v>
      </c>
      <c r="E242" s="33" t="s">
        <v>709</v>
      </c>
      <c r="F242" s="27" t="s">
        <v>1584</v>
      </c>
      <c r="G242" s="22">
        <v>-308.5</v>
      </c>
      <c r="H242" s="22"/>
      <c r="I242" s="22"/>
    </row>
    <row r="243" spans="1:9" x14ac:dyDescent="0.25">
      <c r="A243" s="66"/>
      <c r="B243" s="23">
        <v>44774</v>
      </c>
      <c r="C243" s="24">
        <v>0.78513888888888894</v>
      </c>
      <c r="D243" s="33" t="s">
        <v>728</v>
      </c>
      <c r="E243" s="33" t="s">
        <v>709</v>
      </c>
      <c r="F243" s="27" t="s">
        <v>1585</v>
      </c>
      <c r="G243" s="22">
        <v>-51.5</v>
      </c>
      <c r="H243" s="22"/>
      <c r="I243" s="22"/>
    </row>
    <row r="244" spans="1:9" x14ac:dyDescent="0.25">
      <c r="A244" s="66"/>
      <c r="B244" s="23">
        <v>44774</v>
      </c>
      <c r="C244" s="24">
        <v>0.84273148148148147</v>
      </c>
      <c r="D244" s="33" t="s">
        <v>728</v>
      </c>
      <c r="E244" s="33" t="s">
        <v>709</v>
      </c>
      <c r="F244" s="27" t="s">
        <v>1586</v>
      </c>
      <c r="G244" s="22">
        <v>-45.5</v>
      </c>
      <c r="H244" s="22"/>
      <c r="I244" s="22"/>
    </row>
    <row r="245" spans="1:9" x14ac:dyDescent="0.25">
      <c r="A245" s="66"/>
      <c r="B245" s="23">
        <v>44775</v>
      </c>
      <c r="C245" s="24">
        <v>0.41362268518518519</v>
      </c>
      <c r="D245" s="33" t="s">
        <v>728</v>
      </c>
      <c r="E245" s="33" t="s">
        <v>709</v>
      </c>
      <c r="F245" s="27" t="s">
        <v>795</v>
      </c>
      <c r="G245" s="22">
        <v>-44.5</v>
      </c>
      <c r="H245" s="22"/>
      <c r="I245" s="22"/>
    </row>
    <row r="246" spans="1:9" x14ac:dyDescent="0.25">
      <c r="A246" s="66"/>
      <c r="B246" s="23">
        <v>44775</v>
      </c>
      <c r="C246" s="24">
        <v>0.44527777777777783</v>
      </c>
      <c r="D246" s="33" t="s">
        <v>728</v>
      </c>
      <c r="E246" s="33" t="s">
        <v>709</v>
      </c>
      <c r="F246" s="27" t="s">
        <v>797</v>
      </c>
      <c r="G246" s="22">
        <v>-74.5</v>
      </c>
      <c r="H246" s="22"/>
      <c r="I246" s="22"/>
    </row>
    <row r="247" spans="1:9" x14ac:dyDescent="0.25">
      <c r="A247" s="66"/>
      <c r="B247" s="23">
        <v>44775</v>
      </c>
      <c r="C247" s="24">
        <v>0.55356481481481479</v>
      </c>
      <c r="D247" s="33" t="s">
        <v>728</v>
      </c>
      <c r="E247" s="33" t="s">
        <v>709</v>
      </c>
      <c r="F247" s="27" t="s">
        <v>799</v>
      </c>
      <c r="G247" s="22">
        <v>-212.5</v>
      </c>
      <c r="H247" s="22"/>
      <c r="I247" s="22"/>
    </row>
    <row r="248" spans="1:9" x14ac:dyDescent="0.25">
      <c r="A248" s="66"/>
      <c r="B248" s="23">
        <v>44775</v>
      </c>
      <c r="C248" s="24">
        <v>0.7007175925925927</v>
      </c>
      <c r="D248" s="33" t="s">
        <v>729</v>
      </c>
      <c r="E248" s="33" t="s">
        <v>709</v>
      </c>
      <c r="F248" s="27" t="s">
        <v>801</v>
      </c>
      <c r="G248" s="22">
        <v>-404.5</v>
      </c>
      <c r="H248" s="22"/>
      <c r="I248" s="22"/>
    </row>
    <row r="249" spans="1:9" x14ac:dyDescent="0.25">
      <c r="A249" s="66"/>
      <c r="B249" s="23">
        <v>44775</v>
      </c>
      <c r="C249" s="24">
        <v>0.7117592592592592</v>
      </c>
      <c r="D249" s="33" t="s">
        <v>729</v>
      </c>
      <c r="E249" s="33" t="s">
        <v>709</v>
      </c>
      <c r="F249" s="27" t="s">
        <v>803</v>
      </c>
      <c r="G249" s="22">
        <v>-44.5</v>
      </c>
      <c r="H249" s="22"/>
      <c r="I249" s="22"/>
    </row>
    <row r="250" spans="1:9" x14ac:dyDescent="0.25">
      <c r="A250" s="66"/>
      <c r="B250" s="23">
        <v>44776</v>
      </c>
      <c r="C250" s="24">
        <v>0.25349537037037034</v>
      </c>
      <c r="D250" s="33" t="s">
        <v>728</v>
      </c>
      <c r="E250" s="33" t="s">
        <v>709</v>
      </c>
      <c r="F250" s="27" t="s">
        <v>1402</v>
      </c>
      <c r="G250" s="22">
        <v>-94.5</v>
      </c>
      <c r="H250" s="22"/>
      <c r="I250" s="22"/>
    </row>
    <row r="251" spans="1:9" x14ac:dyDescent="0.25">
      <c r="A251" s="66"/>
      <c r="B251" s="23">
        <v>44776</v>
      </c>
      <c r="C251" s="24">
        <v>0.38557870370370373</v>
      </c>
      <c r="D251" s="33" t="s">
        <v>715</v>
      </c>
      <c r="E251" s="33" t="s">
        <v>709</v>
      </c>
      <c r="F251" s="27" t="s">
        <v>1404</v>
      </c>
      <c r="G251" s="22">
        <v>-88.5</v>
      </c>
      <c r="H251" s="22"/>
      <c r="I251" s="22"/>
    </row>
    <row r="252" spans="1:9" x14ac:dyDescent="0.25">
      <c r="A252" s="66"/>
      <c r="B252" s="23">
        <v>44776</v>
      </c>
      <c r="C252" s="24">
        <v>0.40064814814814814</v>
      </c>
      <c r="D252" s="33" t="s">
        <v>715</v>
      </c>
      <c r="E252" s="33" t="s">
        <v>709</v>
      </c>
      <c r="F252" s="27" t="s">
        <v>1406</v>
      </c>
      <c r="G252" s="22">
        <v>-143.5</v>
      </c>
      <c r="H252" s="22"/>
      <c r="I252" s="22"/>
    </row>
    <row r="253" spans="1:9" x14ac:dyDescent="0.25">
      <c r="A253" s="66"/>
      <c r="B253" s="23">
        <v>44776</v>
      </c>
      <c r="C253" s="24">
        <v>0.4288541666666667</v>
      </c>
      <c r="D253" s="33" t="s">
        <v>728</v>
      </c>
      <c r="E253" s="33" t="s">
        <v>709</v>
      </c>
      <c r="F253" s="27" t="s">
        <v>1408</v>
      </c>
      <c r="G253" s="22">
        <v>-153.5</v>
      </c>
      <c r="H253" s="22"/>
      <c r="I253" s="22"/>
    </row>
    <row r="254" spans="1:9" x14ac:dyDescent="0.25">
      <c r="A254" s="66"/>
      <c r="B254" s="23">
        <v>44776</v>
      </c>
      <c r="C254" s="24">
        <v>0.56589120370370372</v>
      </c>
      <c r="D254" s="33" t="s">
        <v>728</v>
      </c>
      <c r="E254" s="33" t="s">
        <v>709</v>
      </c>
      <c r="F254" s="27" t="s">
        <v>1410</v>
      </c>
      <c r="G254" s="22">
        <v>-86.5</v>
      </c>
      <c r="H254" s="22"/>
      <c r="I254" s="22"/>
    </row>
    <row r="255" spans="1:9" x14ac:dyDescent="0.25">
      <c r="A255" s="66"/>
      <c r="B255" s="23">
        <v>44776</v>
      </c>
      <c r="C255" s="24">
        <v>0.59048611111111116</v>
      </c>
      <c r="D255" s="33" t="s">
        <v>728</v>
      </c>
      <c r="E255" s="33" t="s">
        <v>709</v>
      </c>
      <c r="F255" s="27" t="s">
        <v>1412</v>
      </c>
      <c r="G255" s="22">
        <v>-144.5</v>
      </c>
      <c r="H255" s="22"/>
      <c r="I255" s="22"/>
    </row>
    <row r="256" spans="1:9" x14ac:dyDescent="0.25">
      <c r="A256" s="66"/>
      <c r="B256" s="23">
        <v>44776</v>
      </c>
      <c r="C256" s="24">
        <v>0.59902777777777783</v>
      </c>
      <c r="D256" s="33" t="s">
        <v>729</v>
      </c>
      <c r="E256" s="33" t="s">
        <v>709</v>
      </c>
      <c r="F256" s="27" t="s">
        <v>1414</v>
      </c>
      <c r="G256" s="22">
        <v>-44.5</v>
      </c>
      <c r="H256" s="22"/>
      <c r="I256" s="22"/>
    </row>
    <row r="257" spans="1:9" x14ac:dyDescent="0.25">
      <c r="A257" s="66"/>
      <c r="B257" s="23">
        <v>44776</v>
      </c>
      <c r="C257" s="24">
        <v>0.60108796296296296</v>
      </c>
      <c r="D257" s="33" t="s">
        <v>729</v>
      </c>
      <c r="E257" s="33" t="s">
        <v>709</v>
      </c>
      <c r="F257" s="27" t="s">
        <v>1415</v>
      </c>
      <c r="G257" s="22">
        <v>-299.5</v>
      </c>
      <c r="H257" s="22"/>
      <c r="I257" s="22"/>
    </row>
    <row r="258" spans="1:9" x14ac:dyDescent="0.25">
      <c r="A258" s="66"/>
      <c r="B258" s="23">
        <v>44776</v>
      </c>
      <c r="C258" s="24">
        <v>0.65587962962962965</v>
      </c>
      <c r="D258" s="33" t="s">
        <v>729</v>
      </c>
      <c r="E258" s="33" t="s">
        <v>709</v>
      </c>
      <c r="F258" s="27" t="s">
        <v>1416</v>
      </c>
      <c r="G258" s="22">
        <v>-143.5</v>
      </c>
      <c r="H258" s="22"/>
      <c r="I258" s="22"/>
    </row>
    <row r="259" spans="1:9" x14ac:dyDescent="0.25">
      <c r="A259" s="66"/>
      <c r="B259" s="23">
        <v>44777</v>
      </c>
      <c r="C259" s="24">
        <v>0.35342592592592598</v>
      </c>
      <c r="D259" s="33" t="s">
        <v>728</v>
      </c>
      <c r="E259" s="33" t="s">
        <v>709</v>
      </c>
      <c r="F259" s="27" t="s">
        <v>1205</v>
      </c>
      <c r="G259" s="22">
        <v>-44.5</v>
      </c>
      <c r="H259" s="22"/>
      <c r="I259" s="22"/>
    </row>
    <row r="260" spans="1:9" x14ac:dyDescent="0.25">
      <c r="A260" s="66"/>
      <c r="B260" s="23">
        <v>44777</v>
      </c>
      <c r="C260" s="24">
        <v>0.48708333333333331</v>
      </c>
      <c r="D260" s="33" t="s">
        <v>728</v>
      </c>
      <c r="E260" s="33" t="s">
        <v>709</v>
      </c>
      <c r="F260" s="27" t="s">
        <v>1207</v>
      </c>
      <c r="G260" s="22">
        <v>-179.5</v>
      </c>
      <c r="H260" s="22"/>
      <c r="I260" s="22"/>
    </row>
    <row r="261" spans="1:9" x14ac:dyDescent="0.25">
      <c r="A261" s="66"/>
      <c r="B261" s="23">
        <v>44777</v>
      </c>
      <c r="C261" s="24">
        <v>0.56686342592592587</v>
      </c>
      <c r="D261" s="33" t="s">
        <v>728</v>
      </c>
      <c r="E261" s="33" t="s">
        <v>709</v>
      </c>
      <c r="F261" s="27" t="s">
        <v>1208</v>
      </c>
      <c r="G261" s="22">
        <v>-68.5</v>
      </c>
      <c r="H261" s="22"/>
      <c r="I261" s="22"/>
    </row>
    <row r="262" spans="1:9" x14ac:dyDescent="0.25">
      <c r="A262" s="66"/>
      <c r="B262" s="23">
        <v>44777</v>
      </c>
      <c r="C262" s="24">
        <v>0.71709490740740733</v>
      </c>
      <c r="D262" s="33" t="s">
        <v>729</v>
      </c>
      <c r="E262" s="33" t="s">
        <v>709</v>
      </c>
      <c r="F262" s="27" t="s">
        <v>1210</v>
      </c>
      <c r="G262" s="22">
        <v>-150.5</v>
      </c>
      <c r="H262" s="22"/>
      <c r="I262" s="22"/>
    </row>
    <row r="263" spans="1:9" x14ac:dyDescent="0.25">
      <c r="A263" s="66"/>
      <c r="B263" s="23">
        <v>44777</v>
      </c>
      <c r="C263" s="24">
        <v>0.86640046296296302</v>
      </c>
      <c r="D263" s="33" t="s">
        <v>729</v>
      </c>
      <c r="E263" s="33" t="s">
        <v>709</v>
      </c>
      <c r="F263" s="27" t="s">
        <v>1212</v>
      </c>
      <c r="G263" s="22">
        <v>-356.5</v>
      </c>
      <c r="H263" s="22"/>
      <c r="I263" s="22"/>
    </row>
    <row r="264" spans="1:9" x14ac:dyDescent="0.25">
      <c r="A264" s="66"/>
      <c r="B264" s="72"/>
      <c r="C264" s="72"/>
      <c r="D264" s="72"/>
      <c r="E264" s="72"/>
      <c r="F264" s="72"/>
      <c r="G264" s="32">
        <f>SUM(G237:G263)</f>
        <v>-3760.5</v>
      </c>
      <c r="H264" s="26">
        <f>27*4.94</f>
        <v>133.38000000000002</v>
      </c>
      <c r="I264" s="32">
        <f>G264+H264</f>
        <v>-3627.12</v>
      </c>
    </row>
    <row r="265" spans="1:9" x14ac:dyDescent="0.25">
      <c r="A265" s="66" t="s">
        <v>833</v>
      </c>
      <c r="B265" s="25" t="s">
        <v>830</v>
      </c>
      <c r="C265" s="76"/>
      <c r="D265" s="76"/>
      <c r="E265" s="76"/>
      <c r="F265" s="76"/>
      <c r="G265" s="26"/>
      <c r="H265" s="22"/>
      <c r="I265" s="22"/>
    </row>
    <row r="266" spans="1:9" x14ac:dyDescent="0.25">
      <c r="A266" s="66"/>
      <c r="B266" s="42">
        <v>44774</v>
      </c>
      <c r="C266" s="43">
        <v>0.53681712962962969</v>
      </c>
      <c r="D266" s="54" t="s">
        <v>730</v>
      </c>
      <c r="E266" s="54" t="s">
        <v>709</v>
      </c>
      <c r="F266" s="45" t="s">
        <v>1622</v>
      </c>
      <c r="G266" s="44">
        <v>-0.5</v>
      </c>
      <c r="H266" s="22"/>
      <c r="I266" s="22"/>
    </row>
    <row r="267" spans="1:9" x14ac:dyDescent="0.25">
      <c r="A267" s="66"/>
      <c r="B267" s="23">
        <v>44774</v>
      </c>
      <c r="C267" s="24">
        <v>0.62105324074074075</v>
      </c>
      <c r="D267" s="33" t="s">
        <v>730</v>
      </c>
      <c r="E267" s="33" t="s">
        <v>709</v>
      </c>
      <c r="F267" s="27" t="s">
        <v>1587</v>
      </c>
      <c r="G267" s="22">
        <v>-111.5</v>
      </c>
      <c r="H267" s="22"/>
      <c r="I267" s="22"/>
    </row>
    <row r="268" spans="1:9" x14ac:dyDescent="0.25">
      <c r="A268" s="66"/>
      <c r="B268" s="23">
        <v>44774</v>
      </c>
      <c r="C268" s="24">
        <v>0.67182870370370373</v>
      </c>
      <c r="D268" s="33" t="s">
        <v>730</v>
      </c>
      <c r="E268" s="33" t="s">
        <v>709</v>
      </c>
      <c r="F268" s="27" t="s">
        <v>1589</v>
      </c>
      <c r="G268" s="22">
        <v>-152.5</v>
      </c>
      <c r="H268" s="22"/>
      <c r="I268" s="22"/>
    </row>
    <row r="269" spans="1:9" x14ac:dyDescent="0.25">
      <c r="A269" s="66"/>
      <c r="B269" s="23">
        <v>44774</v>
      </c>
      <c r="C269" s="24">
        <v>0.88215277777777779</v>
      </c>
      <c r="D269" s="33" t="s">
        <v>904</v>
      </c>
      <c r="E269" s="33" t="s">
        <v>709</v>
      </c>
      <c r="F269" s="27" t="s">
        <v>1591</v>
      </c>
      <c r="G269" s="22">
        <v>-57.5</v>
      </c>
      <c r="H269" s="22"/>
      <c r="I269" s="22"/>
    </row>
    <row r="270" spans="1:9" x14ac:dyDescent="0.25">
      <c r="A270" s="66"/>
      <c r="B270" s="23">
        <v>44775</v>
      </c>
      <c r="C270" s="24">
        <v>0.45315972222222217</v>
      </c>
      <c r="D270" s="33" t="s">
        <v>730</v>
      </c>
      <c r="E270" s="33" t="s">
        <v>709</v>
      </c>
      <c r="F270" s="27" t="s">
        <v>805</v>
      </c>
      <c r="G270" s="22">
        <v>-299.5</v>
      </c>
      <c r="H270" s="22"/>
      <c r="I270" s="22"/>
    </row>
    <row r="271" spans="1:9" x14ac:dyDescent="0.25">
      <c r="A271" s="66"/>
      <c r="B271" s="23">
        <v>44775</v>
      </c>
      <c r="C271" s="24">
        <v>0.45454861111111106</v>
      </c>
      <c r="D271" s="33" t="s">
        <v>730</v>
      </c>
      <c r="E271" s="33" t="s">
        <v>709</v>
      </c>
      <c r="F271" s="27" t="s">
        <v>807</v>
      </c>
      <c r="G271" s="22">
        <v>-135.5</v>
      </c>
      <c r="H271" s="22"/>
      <c r="I271" s="22"/>
    </row>
    <row r="272" spans="1:9" x14ac:dyDescent="0.25">
      <c r="A272" s="66"/>
      <c r="B272" s="23">
        <v>44776</v>
      </c>
      <c r="C272" s="24">
        <v>0.62361111111111112</v>
      </c>
      <c r="D272" s="33" t="s">
        <v>904</v>
      </c>
      <c r="E272" s="33" t="s">
        <v>709</v>
      </c>
      <c r="F272" s="27" t="s">
        <v>1417</v>
      </c>
      <c r="G272" s="22">
        <v>-45.5</v>
      </c>
      <c r="H272" s="22"/>
      <c r="I272" s="22"/>
    </row>
    <row r="273" spans="1:9" x14ac:dyDescent="0.25">
      <c r="A273" s="66"/>
      <c r="B273" s="23">
        <v>44776</v>
      </c>
      <c r="C273" s="24">
        <v>0.81033564814814818</v>
      </c>
      <c r="D273" s="33" t="s">
        <v>722</v>
      </c>
      <c r="E273" s="33" t="s">
        <v>709</v>
      </c>
      <c r="F273" s="27" t="s">
        <v>1419</v>
      </c>
      <c r="G273" s="22">
        <v>-142.5</v>
      </c>
      <c r="H273" s="22"/>
      <c r="I273" s="22"/>
    </row>
    <row r="274" spans="1:9" x14ac:dyDescent="0.25">
      <c r="A274" s="66"/>
      <c r="B274" s="28">
        <v>44776</v>
      </c>
      <c r="C274" s="29">
        <v>0.88336805555555553</v>
      </c>
      <c r="D274" s="34" t="s">
        <v>722</v>
      </c>
      <c r="E274" s="34" t="s">
        <v>709</v>
      </c>
      <c r="F274" s="31" t="s">
        <v>1457</v>
      </c>
      <c r="G274" s="30">
        <v>-100.5</v>
      </c>
      <c r="H274" s="22"/>
      <c r="I274" s="22"/>
    </row>
    <row r="275" spans="1:9" x14ac:dyDescent="0.25">
      <c r="A275" s="66"/>
      <c r="B275" s="23">
        <v>44777</v>
      </c>
      <c r="C275" s="24">
        <v>0.7935416666666667</v>
      </c>
      <c r="D275" s="33" t="s">
        <v>904</v>
      </c>
      <c r="E275" s="33" t="s">
        <v>709</v>
      </c>
      <c r="F275" s="27" t="s">
        <v>1214</v>
      </c>
      <c r="G275" s="22">
        <v>-82.5</v>
      </c>
      <c r="H275" s="22"/>
      <c r="I275" s="22"/>
    </row>
    <row r="276" spans="1:9" x14ac:dyDescent="0.25">
      <c r="A276" s="66"/>
      <c r="B276" s="72"/>
      <c r="C276" s="72"/>
      <c r="D276" s="72"/>
      <c r="E276" s="72"/>
      <c r="F276" s="72"/>
      <c r="G276" s="32">
        <f>SUM(G266:G275)</f>
        <v>-1128</v>
      </c>
      <c r="H276" s="26">
        <f>10*4.94</f>
        <v>49.400000000000006</v>
      </c>
      <c r="I276" s="32">
        <f>G276+H276</f>
        <v>-1078.5999999999999</v>
      </c>
    </row>
    <row r="277" spans="1:9" x14ac:dyDescent="0.25">
      <c r="A277" s="66" t="s">
        <v>833</v>
      </c>
      <c r="B277" s="25" t="s">
        <v>1271</v>
      </c>
      <c r="C277" s="76"/>
      <c r="D277" s="76"/>
      <c r="E277" s="76"/>
      <c r="F277" s="76"/>
      <c r="G277" s="26"/>
      <c r="H277" s="22"/>
      <c r="I277" s="22"/>
    </row>
    <row r="278" spans="1:9" x14ac:dyDescent="0.25">
      <c r="A278" s="66"/>
      <c r="B278" s="23">
        <v>44777</v>
      </c>
      <c r="C278" s="24">
        <v>0.6674768518518519</v>
      </c>
      <c r="D278" s="33" t="s">
        <v>905</v>
      </c>
      <c r="E278" s="33" t="s">
        <v>709</v>
      </c>
      <c r="F278" s="27" t="s">
        <v>1216</v>
      </c>
      <c r="G278" s="22">
        <v>-81.5</v>
      </c>
      <c r="H278" s="22"/>
      <c r="I278" s="22"/>
    </row>
    <row r="279" spans="1:9" x14ac:dyDescent="0.25">
      <c r="A279" s="66"/>
      <c r="B279" s="46">
        <v>44777</v>
      </c>
      <c r="C279" s="47">
        <v>0.91778935185185195</v>
      </c>
      <c r="D279" s="55" t="s">
        <v>731</v>
      </c>
      <c r="E279" s="55" t="s">
        <v>712</v>
      </c>
      <c r="F279" s="49" t="s">
        <v>1255</v>
      </c>
      <c r="G279" s="48">
        <f>-60+2.5</f>
        <v>-57.5</v>
      </c>
      <c r="H279" s="22"/>
      <c r="I279" s="22"/>
    </row>
    <row r="280" spans="1:9" x14ac:dyDescent="0.25">
      <c r="A280" s="66"/>
      <c r="B280" s="73" t="s">
        <v>1277</v>
      </c>
      <c r="C280" s="73"/>
      <c r="D280" s="73"/>
      <c r="E280" s="73"/>
      <c r="F280" s="73"/>
      <c r="G280" s="48"/>
      <c r="H280" s="22"/>
      <c r="I280" s="22"/>
    </row>
    <row r="281" spans="1:9" x14ac:dyDescent="0.25">
      <c r="A281" s="66"/>
      <c r="B281" s="72"/>
      <c r="C281" s="72"/>
      <c r="D281" s="72"/>
      <c r="E281" s="72"/>
      <c r="F281" s="72"/>
      <c r="G281" s="32">
        <f>SUM(G278:G279)</f>
        <v>-139</v>
      </c>
      <c r="H281" s="26">
        <f>2*4.94</f>
        <v>9.8800000000000008</v>
      </c>
      <c r="I281" s="32">
        <f>G281+H281</f>
        <v>-129.12</v>
      </c>
    </row>
    <row r="282" spans="1:9" x14ac:dyDescent="0.25">
      <c r="A282" s="66" t="s">
        <v>833</v>
      </c>
      <c r="B282" s="25" t="s">
        <v>1272</v>
      </c>
      <c r="C282" s="76"/>
      <c r="D282" s="76"/>
      <c r="E282" s="76"/>
      <c r="F282" s="76"/>
      <c r="G282" s="26"/>
      <c r="H282" s="22"/>
      <c r="I282" s="22"/>
    </row>
    <row r="283" spans="1:9" x14ac:dyDescent="0.25">
      <c r="A283" s="66"/>
      <c r="B283" s="23">
        <v>44774</v>
      </c>
      <c r="C283" s="24">
        <v>0.55078703703703702</v>
      </c>
      <c r="D283" s="33" t="s">
        <v>732</v>
      </c>
      <c r="E283" s="33" t="s">
        <v>709</v>
      </c>
      <c r="F283" s="27" t="s">
        <v>1593</v>
      </c>
      <c r="G283" s="22">
        <v>-74.5</v>
      </c>
      <c r="H283" s="22"/>
      <c r="I283" s="22"/>
    </row>
    <row r="284" spans="1:9" x14ac:dyDescent="0.25">
      <c r="A284" s="66"/>
      <c r="B284" s="23">
        <v>44774</v>
      </c>
      <c r="C284" s="24">
        <v>0.78895833333333332</v>
      </c>
      <c r="D284" s="33" t="s">
        <v>732</v>
      </c>
      <c r="E284" s="33" t="s">
        <v>709</v>
      </c>
      <c r="F284" s="27" t="s">
        <v>1595</v>
      </c>
      <c r="G284" s="22">
        <v>-102.5</v>
      </c>
      <c r="H284" s="22"/>
      <c r="I284" s="22"/>
    </row>
    <row r="285" spans="1:9" x14ac:dyDescent="0.25">
      <c r="A285" s="66"/>
      <c r="B285" s="23">
        <v>44776</v>
      </c>
      <c r="C285" s="24">
        <v>0.31109953703703702</v>
      </c>
      <c r="D285" s="33" t="s">
        <v>733</v>
      </c>
      <c r="E285" s="33" t="s">
        <v>709</v>
      </c>
      <c r="F285" s="27" t="s">
        <v>1421</v>
      </c>
      <c r="G285" s="22">
        <v>-44.5</v>
      </c>
      <c r="H285" s="22"/>
      <c r="I285" s="22"/>
    </row>
    <row r="286" spans="1:9" x14ac:dyDescent="0.25">
      <c r="A286" s="66"/>
      <c r="B286" s="23">
        <v>44776</v>
      </c>
      <c r="C286" s="24">
        <v>0.42993055555555554</v>
      </c>
      <c r="D286" s="33" t="s">
        <v>733</v>
      </c>
      <c r="E286" s="33" t="s">
        <v>709</v>
      </c>
      <c r="F286" s="27" t="s">
        <v>1423</v>
      </c>
      <c r="G286" s="22">
        <v>-94.5</v>
      </c>
      <c r="H286" s="22"/>
      <c r="I286" s="22"/>
    </row>
    <row r="287" spans="1:9" x14ac:dyDescent="0.25">
      <c r="A287" s="66"/>
      <c r="B287" s="23">
        <v>44777</v>
      </c>
      <c r="C287" s="24">
        <v>0.79362268518518519</v>
      </c>
      <c r="D287" s="33" t="s">
        <v>733</v>
      </c>
      <c r="E287" s="33" t="s">
        <v>709</v>
      </c>
      <c r="F287" s="27" t="s">
        <v>1218</v>
      </c>
      <c r="G287" s="22">
        <v>-85.5</v>
      </c>
      <c r="H287" s="22"/>
      <c r="I287" s="22"/>
    </row>
    <row r="288" spans="1:9" x14ac:dyDescent="0.25">
      <c r="A288" s="66"/>
      <c r="B288" s="23">
        <v>44777</v>
      </c>
      <c r="C288" s="24">
        <v>0.86313657407407407</v>
      </c>
      <c r="D288" s="33" t="s">
        <v>733</v>
      </c>
      <c r="E288" s="33" t="s">
        <v>709</v>
      </c>
      <c r="F288" s="27" t="s">
        <v>1220</v>
      </c>
      <c r="G288" s="22">
        <v>-86.5</v>
      </c>
      <c r="H288" s="22"/>
      <c r="I288" s="22"/>
    </row>
    <row r="289" spans="1:9" x14ac:dyDescent="0.25">
      <c r="A289" s="66"/>
      <c r="B289" s="72"/>
      <c r="C289" s="72"/>
      <c r="D289" s="72"/>
      <c r="E289" s="72"/>
      <c r="F289" s="72"/>
      <c r="G289" s="32">
        <f>SUM(G283:G288)</f>
        <v>-488</v>
      </c>
      <c r="H289" s="26">
        <f>6*4.94</f>
        <v>29.64</v>
      </c>
      <c r="I289" s="32">
        <f>G289+H289</f>
        <v>-458.36</v>
      </c>
    </row>
    <row r="290" spans="1:9" x14ac:dyDescent="0.25">
      <c r="A290" s="66" t="s">
        <v>833</v>
      </c>
      <c r="B290" s="25" t="s">
        <v>831</v>
      </c>
      <c r="C290" s="76"/>
      <c r="D290" s="76"/>
      <c r="E290" s="76"/>
      <c r="F290" s="76"/>
      <c r="G290" s="26"/>
      <c r="H290" s="22"/>
      <c r="I290" s="22"/>
    </row>
    <row r="291" spans="1:9" x14ac:dyDescent="0.25">
      <c r="A291" s="66"/>
      <c r="B291" s="23">
        <v>44775</v>
      </c>
      <c r="C291" s="24">
        <v>0.41400462962962964</v>
      </c>
      <c r="D291" s="33" t="s">
        <v>734</v>
      </c>
      <c r="E291" s="33" t="s">
        <v>709</v>
      </c>
      <c r="F291" s="27" t="s">
        <v>809</v>
      </c>
      <c r="G291" s="22">
        <v>-147.5</v>
      </c>
      <c r="H291" s="22"/>
      <c r="I291" s="22"/>
    </row>
    <row r="292" spans="1:9" x14ac:dyDescent="0.25">
      <c r="A292" s="66"/>
      <c r="B292" s="23">
        <v>44775</v>
      </c>
      <c r="C292" s="24">
        <v>0.50101851851851853</v>
      </c>
      <c r="D292" s="33" t="s">
        <v>734</v>
      </c>
      <c r="E292" s="33" t="s">
        <v>709</v>
      </c>
      <c r="F292" s="27" t="s">
        <v>811</v>
      </c>
      <c r="G292" s="22">
        <v>-106.5</v>
      </c>
      <c r="H292" s="22"/>
      <c r="I292" s="22"/>
    </row>
    <row r="293" spans="1:9" x14ac:dyDescent="0.25">
      <c r="A293" s="66"/>
      <c r="B293" s="46">
        <v>44776</v>
      </c>
      <c r="C293" s="47">
        <v>0.81718750000000007</v>
      </c>
      <c r="D293" s="55" t="s">
        <v>735</v>
      </c>
      <c r="E293" s="55" t="s">
        <v>709</v>
      </c>
      <c r="F293" s="49" t="s">
        <v>1460</v>
      </c>
      <c r="G293" s="49" t="s">
        <v>1463</v>
      </c>
      <c r="H293" s="22"/>
      <c r="I293" s="22"/>
    </row>
    <row r="294" spans="1:9" x14ac:dyDescent="0.25">
      <c r="A294" s="66"/>
      <c r="B294" s="73" t="s">
        <v>1459</v>
      </c>
      <c r="C294" s="73"/>
      <c r="D294" s="73"/>
      <c r="E294" s="73"/>
      <c r="F294" s="73"/>
      <c r="G294" s="49"/>
      <c r="H294" s="22"/>
      <c r="I294" s="22"/>
    </row>
    <row r="295" spans="1:9" x14ac:dyDescent="0.25">
      <c r="A295" s="66"/>
      <c r="B295" s="23">
        <v>44776</v>
      </c>
      <c r="C295" s="24">
        <v>0.85534722222222215</v>
      </c>
      <c r="D295" s="33" t="s">
        <v>735</v>
      </c>
      <c r="E295" s="33" t="s">
        <v>709</v>
      </c>
      <c r="F295" s="27" t="s">
        <v>1425</v>
      </c>
      <c r="G295" s="22">
        <v>-98.5</v>
      </c>
      <c r="H295" s="22"/>
      <c r="I295" s="22"/>
    </row>
    <row r="296" spans="1:9" x14ac:dyDescent="0.25">
      <c r="A296" s="66"/>
      <c r="B296" s="23">
        <v>44777</v>
      </c>
      <c r="C296" s="24">
        <v>0.7174652777777778</v>
      </c>
      <c r="D296" s="33" t="s">
        <v>734</v>
      </c>
      <c r="E296" s="33" t="s">
        <v>709</v>
      </c>
      <c r="F296" s="27" t="s">
        <v>1222</v>
      </c>
      <c r="G296" s="22">
        <v>-367.5</v>
      </c>
      <c r="H296" s="22"/>
      <c r="I296" s="22"/>
    </row>
    <row r="297" spans="1:9" x14ac:dyDescent="0.25">
      <c r="A297" s="66"/>
      <c r="B297" s="23">
        <v>44777</v>
      </c>
      <c r="C297" s="24">
        <v>0.88981481481481473</v>
      </c>
      <c r="D297" s="33" t="s">
        <v>734</v>
      </c>
      <c r="E297" s="33" t="s">
        <v>709</v>
      </c>
      <c r="F297" s="27" t="s">
        <v>1223</v>
      </c>
      <c r="G297" s="22">
        <v>-106.5</v>
      </c>
      <c r="H297" s="22"/>
      <c r="I297" s="22"/>
    </row>
    <row r="298" spans="1:9" x14ac:dyDescent="0.25">
      <c r="A298" s="66"/>
      <c r="B298" s="23">
        <v>44777</v>
      </c>
      <c r="C298" s="24">
        <v>0.89372685185185186</v>
      </c>
      <c r="D298" s="33" t="s">
        <v>734</v>
      </c>
      <c r="E298" s="33" t="s">
        <v>709</v>
      </c>
      <c r="F298" s="27" t="s">
        <v>1225</v>
      </c>
      <c r="G298" s="22">
        <v>-187.5</v>
      </c>
      <c r="H298" s="22"/>
      <c r="I298" s="22"/>
    </row>
    <row r="299" spans="1:9" x14ac:dyDescent="0.25">
      <c r="A299" s="66"/>
      <c r="B299" s="72"/>
      <c r="C299" s="72"/>
      <c r="D299" s="72"/>
      <c r="E299" s="72"/>
      <c r="F299" s="72"/>
      <c r="G299" s="32">
        <f>SUM(G291:G298)</f>
        <v>-1014</v>
      </c>
      <c r="H299" s="26">
        <f>7*4.94</f>
        <v>34.580000000000005</v>
      </c>
      <c r="I299" s="32">
        <f>G299+H299</f>
        <v>-979.42</v>
      </c>
    </row>
    <row r="300" spans="1:9" x14ac:dyDescent="0.25">
      <c r="A300" s="66" t="s">
        <v>833</v>
      </c>
      <c r="B300" s="25" t="s">
        <v>832</v>
      </c>
      <c r="C300" s="76"/>
      <c r="D300" s="76"/>
      <c r="E300" s="76"/>
      <c r="F300" s="76"/>
      <c r="G300" s="26"/>
      <c r="H300" s="22"/>
      <c r="I300" s="22"/>
    </row>
    <row r="301" spans="1:9" x14ac:dyDescent="0.25">
      <c r="A301" s="66"/>
      <c r="B301" s="23">
        <v>44774</v>
      </c>
      <c r="C301" s="24">
        <v>0.52170138888888895</v>
      </c>
      <c r="D301" s="33" t="s">
        <v>1279</v>
      </c>
      <c r="E301" s="33" t="s">
        <v>709</v>
      </c>
      <c r="F301" s="27" t="s">
        <v>1596</v>
      </c>
      <c r="G301" s="22">
        <v>-163.5</v>
      </c>
      <c r="H301" s="22"/>
      <c r="I301" s="22"/>
    </row>
    <row r="302" spans="1:9" x14ac:dyDescent="0.25">
      <c r="A302" s="66"/>
      <c r="B302" s="28">
        <v>44774</v>
      </c>
      <c r="C302" s="29">
        <v>0.52674768518518522</v>
      </c>
      <c r="D302" s="34" t="s">
        <v>1279</v>
      </c>
      <c r="E302" s="34" t="s">
        <v>709</v>
      </c>
      <c r="F302" s="31" t="s">
        <v>1615</v>
      </c>
      <c r="G302" s="30">
        <v>-45.5</v>
      </c>
      <c r="H302" s="22"/>
      <c r="I302" s="22"/>
    </row>
    <row r="303" spans="1:9" x14ac:dyDescent="0.25">
      <c r="A303" s="66"/>
      <c r="B303" s="23">
        <v>44774</v>
      </c>
      <c r="C303" s="24">
        <v>0.64623842592592595</v>
      </c>
      <c r="D303" s="33" t="s">
        <v>722</v>
      </c>
      <c r="E303" s="33" t="s">
        <v>709</v>
      </c>
      <c r="F303" s="27" t="s">
        <v>1598</v>
      </c>
      <c r="G303" s="22">
        <v>-79.5</v>
      </c>
      <c r="H303" s="22"/>
      <c r="I303" s="22"/>
    </row>
    <row r="304" spans="1:9" x14ac:dyDescent="0.25">
      <c r="A304" s="66"/>
      <c r="B304" s="23">
        <v>44774</v>
      </c>
      <c r="C304" s="24">
        <v>0.79777777777777781</v>
      </c>
      <c r="D304" s="33" t="s">
        <v>1279</v>
      </c>
      <c r="E304" s="33" t="s">
        <v>709</v>
      </c>
      <c r="F304" s="27" t="s">
        <v>1600</v>
      </c>
      <c r="G304" s="22">
        <v>-99.5</v>
      </c>
      <c r="H304" s="22"/>
      <c r="I304" s="22"/>
    </row>
    <row r="305" spans="1:9" x14ac:dyDescent="0.25">
      <c r="A305" s="66"/>
      <c r="B305" s="23">
        <v>44774</v>
      </c>
      <c r="C305" s="24">
        <v>0.84959490740740751</v>
      </c>
      <c r="D305" s="33" t="s">
        <v>722</v>
      </c>
      <c r="E305" s="33" t="s">
        <v>709</v>
      </c>
      <c r="F305" s="27" t="s">
        <v>1602</v>
      </c>
      <c r="G305" s="22">
        <v>-143.5</v>
      </c>
      <c r="H305" s="22"/>
      <c r="I305" s="22"/>
    </row>
    <row r="306" spans="1:9" x14ac:dyDescent="0.25">
      <c r="A306" s="66"/>
      <c r="B306" s="28">
        <v>44775</v>
      </c>
      <c r="C306" s="29">
        <v>0.61834490740740744</v>
      </c>
      <c r="D306" s="34" t="s">
        <v>736</v>
      </c>
      <c r="E306" s="34" t="s">
        <v>709</v>
      </c>
      <c r="F306" s="31" t="s">
        <v>818</v>
      </c>
      <c r="G306" s="30">
        <v>-117.5</v>
      </c>
      <c r="H306" s="22"/>
      <c r="I306" s="22"/>
    </row>
    <row r="307" spans="1:9" x14ac:dyDescent="0.25">
      <c r="A307" s="66"/>
      <c r="B307" s="23">
        <v>44775</v>
      </c>
      <c r="C307" s="24">
        <v>0.6430555555555556</v>
      </c>
      <c r="D307" s="33" t="s">
        <v>722</v>
      </c>
      <c r="E307" s="33" t="s">
        <v>709</v>
      </c>
      <c r="F307" s="27" t="s">
        <v>812</v>
      </c>
      <c r="G307" s="22">
        <v>-628.5</v>
      </c>
      <c r="H307" s="22"/>
      <c r="I307" s="22"/>
    </row>
    <row r="308" spans="1:9" x14ac:dyDescent="0.25">
      <c r="A308" s="66"/>
      <c r="B308" s="23">
        <v>44775</v>
      </c>
      <c r="C308" s="24">
        <v>0.79178240740740735</v>
      </c>
      <c r="D308" s="33" t="s">
        <v>722</v>
      </c>
      <c r="E308" s="33" t="s">
        <v>709</v>
      </c>
      <c r="F308" s="27" t="s">
        <v>814</v>
      </c>
      <c r="G308" s="22">
        <v>-58.5</v>
      </c>
      <c r="H308" s="22"/>
      <c r="I308" s="22"/>
    </row>
    <row r="309" spans="1:9" x14ac:dyDescent="0.25">
      <c r="A309" s="66"/>
      <c r="B309" s="23">
        <v>44776</v>
      </c>
      <c r="C309" s="24">
        <v>0.32828703703703704</v>
      </c>
      <c r="D309" s="33" t="s">
        <v>722</v>
      </c>
      <c r="E309" s="33" t="s">
        <v>709</v>
      </c>
      <c r="F309" s="27" t="s">
        <v>1427</v>
      </c>
      <c r="G309" s="22">
        <v>-116.5</v>
      </c>
      <c r="H309" s="22"/>
      <c r="I309" s="22"/>
    </row>
    <row r="310" spans="1:9" x14ac:dyDescent="0.25">
      <c r="A310" s="66"/>
      <c r="B310" s="23">
        <v>44776</v>
      </c>
      <c r="C310" s="24">
        <v>0.33697916666666666</v>
      </c>
      <c r="D310" s="33" t="s">
        <v>722</v>
      </c>
      <c r="E310" s="33" t="s">
        <v>709</v>
      </c>
      <c r="F310" s="27" t="s">
        <v>1429</v>
      </c>
      <c r="G310" s="22">
        <v>-156.5</v>
      </c>
      <c r="H310" s="22"/>
      <c r="I310" s="22"/>
    </row>
    <row r="311" spans="1:9" x14ac:dyDescent="0.25">
      <c r="A311" s="66"/>
      <c r="B311" s="23">
        <v>44776</v>
      </c>
      <c r="C311" s="24">
        <v>0.44339120370370372</v>
      </c>
      <c r="D311" s="33" t="s">
        <v>722</v>
      </c>
      <c r="E311" s="33" t="s">
        <v>709</v>
      </c>
      <c r="F311" s="27" t="s">
        <v>1431</v>
      </c>
      <c r="G311" s="22">
        <v>-89.5</v>
      </c>
      <c r="H311" s="22"/>
      <c r="I311" s="22"/>
    </row>
    <row r="312" spans="1:9" x14ac:dyDescent="0.25">
      <c r="A312" s="66"/>
      <c r="B312" s="23">
        <v>44776</v>
      </c>
      <c r="C312" s="24">
        <v>0.48628472222222219</v>
      </c>
      <c r="D312" s="33" t="s">
        <v>722</v>
      </c>
      <c r="E312" s="33" t="s">
        <v>709</v>
      </c>
      <c r="F312" s="27" t="s">
        <v>1433</v>
      </c>
      <c r="G312" s="22">
        <v>-356.5</v>
      </c>
      <c r="H312" s="22"/>
      <c r="I312" s="22"/>
    </row>
    <row r="313" spans="1:9" x14ac:dyDescent="0.25">
      <c r="A313" s="66"/>
      <c r="B313" s="23">
        <v>44776</v>
      </c>
      <c r="C313" s="24">
        <v>0.49428240740740742</v>
      </c>
      <c r="D313" s="33" t="s">
        <v>722</v>
      </c>
      <c r="E313" s="33" t="s">
        <v>709</v>
      </c>
      <c r="F313" s="27" t="s">
        <v>1435</v>
      </c>
      <c r="G313" s="22">
        <v>-159.5</v>
      </c>
      <c r="H313" s="22"/>
      <c r="I313" s="22"/>
    </row>
    <row r="314" spans="1:9" x14ac:dyDescent="0.25">
      <c r="A314" s="66"/>
      <c r="B314" s="23">
        <v>44776</v>
      </c>
      <c r="C314" s="24">
        <v>0.61076388888888888</v>
      </c>
      <c r="D314" s="33" t="s">
        <v>722</v>
      </c>
      <c r="E314" s="33" t="s">
        <v>709</v>
      </c>
      <c r="F314" s="27" t="s">
        <v>1437</v>
      </c>
      <c r="G314" s="22">
        <v>-105.5</v>
      </c>
      <c r="H314" s="22"/>
      <c r="I314" s="22"/>
    </row>
    <row r="315" spans="1:9" x14ac:dyDescent="0.25">
      <c r="A315" s="66"/>
      <c r="B315" s="23">
        <v>44776</v>
      </c>
      <c r="C315" s="24">
        <v>0.62752314814814814</v>
      </c>
      <c r="D315" s="33" t="s">
        <v>722</v>
      </c>
      <c r="E315" s="33" t="s">
        <v>709</v>
      </c>
      <c r="F315" s="27" t="s">
        <v>1439</v>
      </c>
      <c r="G315" s="22">
        <v>-161.5</v>
      </c>
      <c r="H315" s="22"/>
      <c r="I315" s="22"/>
    </row>
    <row r="316" spans="1:9" x14ac:dyDescent="0.25">
      <c r="A316" s="66"/>
      <c r="B316" s="23">
        <v>44776</v>
      </c>
      <c r="C316" s="24">
        <v>0.6413078703703704</v>
      </c>
      <c r="D316" s="33" t="s">
        <v>722</v>
      </c>
      <c r="E316" s="33" t="s">
        <v>709</v>
      </c>
      <c r="F316" s="27" t="s">
        <v>1440</v>
      </c>
      <c r="G316" s="22">
        <v>-113.5</v>
      </c>
      <c r="H316" s="22"/>
      <c r="I316" s="22"/>
    </row>
    <row r="317" spans="1:9" x14ac:dyDescent="0.25">
      <c r="A317" s="66"/>
      <c r="B317" s="23">
        <v>44776</v>
      </c>
      <c r="C317" s="24">
        <v>0.77049768518518524</v>
      </c>
      <c r="D317" s="33" t="s">
        <v>722</v>
      </c>
      <c r="E317" s="33" t="s">
        <v>709</v>
      </c>
      <c r="F317" s="27" t="s">
        <v>1441</v>
      </c>
      <c r="G317" s="22">
        <v>-1194.5</v>
      </c>
      <c r="H317" s="22"/>
      <c r="I317" s="22"/>
    </row>
    <row r="318" spans="1:9" x14ac:dyDescent="0.25">
      <c r="A318" s="66"/>
      <c r="B318" s="23">
        <v>44777</v>
      </c>
      <c r="C318" s="24">
        <v>0.41541666666666671</v>
      </c>
      <c r="D318" s="33" t="s">
        <v>736</v>
      </c>
      <c r="E318" s="33" t="s">
        <v>709</v>
      </c>
      <c r="F318" s="27" t="s">
        <v>1227</v>
      </c>
      <c r="G318" s="22">
        <v>-116.5</v>
      </c>
      <c r="H318" s="22"/>
      <c r="I318" s="22"/>
    </row>
    <row r="319" spans="1:9" x14ac:dyDescent="0.25">
      <c r="A319" s="66"/>
      <c r="B319" s="23">
        <v>44777</v>
      </c>
      <c r="C319" s="24">
        <v>0.55828703703703708</v>
      </c>
      <c r="D319" s="33" t="s">
        <v>736</v>
      </c>
      <c r="E319" s="33" t="s">
        <v>709</v>
      </c>
      <c r="F319" s="27" t="s">
        <v>1229</v>
      </c>
      <c r="G319" s="22">
        <v>-181.5</v>
      </c>
      <c r="H319" s="22"/>
      <c r="I319" s="22"/>
    </row>
    <row r="320" spans="1:9" x14ac:dyDescent="0.25">
      <c r="A320" s="66"/>
      <c r="B320" s="23">
        <v>44777</v>
      </c>
      <c r="C320" s="24">
        <v>0.75162037037037033</v>
      </c>
      <c r="D320" s="33" t="s">
        <v>722</v>
      </c>
      <c r="E320" s="33" t="s">
        <v>709</v>
      </c>
      <c r="F320" s="27" t="s">
        <v>1231</v>
      </c>
      <c r="G320" s="22">
        <v>-53.5</v>
      </c>
      <c r="H320" s="22"/>
      <c r="I320" s="22"/>
    </row>
    <row r="321" spans="1:9" x14ac:dyDescent="0.25">
      <c r="A321" s="66"/>
      <c r="B321" s="23">
        <v>44777</v>
      </c>
      <c r="C321" s="24">
        <v>0.81510416666666663</v>
      </c>
      <c r="D321" s="33" t="s">
        <v>722</v>
      </c>
      <c r="E321" s="33" t="s">
        <v>709</v>
      </c>
      <c r="F321" s="27" t="s">
        <v>1233</v>
      </c>
      <c r="G321" s="22">
        <v>-79.5</v>
      </c>
      <c r="H321" s="22"/>
      <c r="I321" s="22"/>
    </row>
    <row r="322" spans="1:9" x14ac:dyDescent="0.25">
      <c r="A322" s="66"/>
      <c r="B322" s="23">
        <v>44777</v>
      </c>
      <c r="C322" s="24">
        <v>0.87290509259259252</v>
      </c>
      <c r="D322" s="33" t="s">
        <v>722</v>
      </c>
      <c r="E322" s="33" t="s">
        <v>709</v>
      </c>
      <c r="F322" s="27" t="s">
        <v>1235</v>
      </c>
      <c r="G322" s="22">
        <v>-2209.5</v>
      </c>
      <c r="H322" s="22"/>
      <c r="I322" s="22"/>
    </row>
    <row r="323" spans="1:9" x14ac:dyDescent="0.25">
      <c r="A323" s="66"/>
      <c r="B323" s="72"/>
      <c r="C323" s="72"/>
      <c r="D323" s="72"/>
      <c r="E323" s="72"/>
      <c r="F323" s="72"/>
      <c r="G323" s="32">
        <f>SUM(G301:G322)</f>
        <v>-6430</v>
      </c>
      <c r="H323" s="26">
        <f>22*4.94</f>
        <v>108.68</v>
      </c>
      <c r="I323" s="32">
        <f>G323+H323</f>
        <v>-6321.32</v>
      </c>
    </row>
    <row r="324" spans="1:9" x14ac:dyDescent="0.25">
      <c r="A324" s="66" t="s">
        <v>833</v>
      </c>
      <c r="B324" s="25" t="s">
        <v>1273</v>
      </c>
      <c r="C324" s="76"/>
      <c r="D324" s="76"/>
      <c r="E324" s="76"/>
      <c r="F324" s="76"/>
      <c r="G324" s="26"/>
      <c r="H324" s="22"/>
      <c r="I324" s="22"/>
    </row>
    <row r="325" spans="1:9" x14ac:dyDescent="0.25">
      <c r="A325" s="66"/>
      <c r="B325" s="42">
        <v>44774</v>
      </c>
      <c r="C325" s="43">
        <v>0.71597222222222223</v>
      </c>
      <c r="D325" s="54" t="s">
        <v>737</v>
      </c>
      <c r="E325" s="54" t="s">
        <v>705</v>
      </c>
      <c r="F325" s="45" t="s">
        <v>1267</v>
      </c>
      <c r="G325" s="44">
        <v>-100</v>
      </c>
      <c r="H325" s="22"/>
      <c r="I325" s="22"/>
    </row>
    <row r="326" spans="1:9" x14ac:dyDescent="0.25">
      <c r="A326" s="66"/>
      <c r="B326" s="42">
        <v>44777</v>
      </c>
      <c r="C326" s="43">
        <v>6.2696759259259258E-2</v>
      </c>
      <c r="D326" s="54" t="s">
        <v>906</v>
      </c>
      <c r="E326" s="54" t="s">
        <v>705</v>
      </c>
      <c r="F326" s="45" t="s">
        <v>1267</v>
      </c>
      <c r="G326" s="44">
        <v>-100</v>
      </c>
      <c r="H326" s="22"/>
      <c r="I326" s="22"/>
    </row>
    <row r="327" spans="1:9" x14ac:dyDescent="0.25">
      <c r="A327" s="66"/>
      <c r="B327" s="72"/>
      <c r="C327" s="72"/>
      <c r="D327" s="72"/>
      <c r="E327" s="72"/>
      <c r="F327" s="72"/>
      <c r="G327" s="32">
        <f>SUM(G325:G326)</f>
        <v>-200</v>
      </c>
      <c r="H327" s="26">
        <f>2*4.94</f>
        <v>9.8800000000000008</v>
      </c>
      <c r="I327" s="32">
        <f>G327+H327</f>
        <v>-190.12</v>
      </c>
    </row>
    <row r="328" spans="1:9" x14ac:dyDescent="0.25">
      <c r="A328" s="66" t="s">
        <v>833</v>
      </c>
      <c r="B328" s="25" t="s">
        <v>1462</v>
      </c>
      <c r="C328" s="76"/>
      <c r="D328" s="76"/>
      <c r="E328" s="76"/>
      <c r="F328" s="76"/>
      <c r="G328" s="26"/>
      <c r="H328" s="22"/>
      <c r="I328" s="22"/>
    </row>
    <row r="329" spans="1:9" x14ac:dyDescent="0.25">
      <c r="A329" s="66"/>
      <c r="B329" s="23">
        <v>44774</v>
      </c>
      <c r="C329" s="24">
        <v>0.3404861111111111</v>
      </c>
      <c r="D329" s="33" t="s">
        <v>738</v>
      </c>
      <c r="E329" s="33" t="s">
        <v>709</v>
      </c>
      <c r="F329" s="27" t="s">
        <v>1603</v>
      </c>
      <c r="G329" s="22">
        <v>-72.5</v>
      </c>
      <c r="H329" s="22"/>
      <c r="I329" s="22"/>
    </row>
    <row r="330" spans="1:9" x14ac:dyDescent="0.25">
      <c r="A330" s="66"/>
      <c r="B330" s="23">
        <v>44774</v>
      </c>
      <c r="C330" s="24">
        <v>0.75288194444444445</v>
      </c>
      <c r="D330" s="33" t="s">
        <v>738</v>
      </c>
      <c r="E330" s="33" t="s">
        <v>709</v>
      </c>
      <c r="F330" s="27" t="s">
        <v>1605</v>
      </c>
      <c r="G330" s="22">
        <v>-440.5</v>
      </c>
      <c r="H330" s="22"/>
      <c r="I330" s="22"/>
    </row>
    <row r="331" spans="1:9" x14ac:dyDescent="0.25">
      <c r="A331" s="66"/>
      <c r="B331" s="23">
        <v>44776</v>
      </c>
      <c r="C331" s="24">
        <v>0.54814814814814816</v>
      </c>
      <c r="D331" s="33" t="s">
        <v>738</v>
      </c>
      <c r="E331" s="33" t="s">
        <v>709</v>
      </c>
      <c r="F331" s="27" t="s">
        <v>1443</v>
      </c>
      <c r="G331" s="22">
        <v>-180.5</v>
      </c>
      <c r="H331" s="22"/>
      <c r="I331" s="22"/>
    </row>
    <row r="332" spans="1:9" x14ac:dyDescent="0.25">
      <c r="A332" s="66"/>
      <c r="B332" s="23">
        <v>44776</v>
      </c>
      <c r="C332" s="24">
        <v>0.61615740740740743</v>
      </c>
      <c r="D332" s="33" t="s">
        <v>738</v>
      </c>
      <c r="E332" s="33" t="s">
        <v>709</v>
      </c>
      <c r="F332" s="27" t="s">
        <v>1445</v>
      </c>
      <c r="G332" s="22">
        <v>-74.5</v>
      </c>
      <c r="H332" s="22"/>
      <c r="I332" s="22"/>
    </row>
    <row r="333" spans="1:9" x14ac:dyDescent="0.25">
      <c r="A333" s="66"/>
      <c r="B333" s="23">
        <v>44776</v>
      </c>
      <c r="C333" s="24">
        <v>0.79880787037037038</v>
      </c>
      <c r="D333" s="33" t="s">
        <v>739</v>
      </c>
      <c r="E333" s="33" t="s">
        <v>709</v>
      </c>
      <c r="F333" s="27" t="s">
        <v>1447</v>
      </c>
      <c r="G333" s="22">
        <v>-177.5</v>
      </c>
      <c r="H333" s="22"/>
      <c r="I333" s="22"/>
    </row>
    <row r="334" spans="1:9" x14ac:dyDescent="0.25">
      <c r="A334" s="66"/>
      <c r="B334" s="23">
        <v>44776</v>
      </c>
      <c r="C334" s="24">
        <v>0.79999999999999993</v>
      </c>
      <c r="D334" s="33" t="s">
        <v>739</v>
      </c>
      <c r="E334" s="33" t="s">
        <v>709</v>
      </c>
      <c r="F334" s="27" t="s">
        <v>1448</v>
      </c>
      <c r="G334" s="22">
        <v>-44.5</v>
      </c>
      <c r="H334" s="22"/>
      <c r="I334" s="22"/>
    </row>
    <row r="335" spans="1:9" x14ac:dyDescent="0.25">
      <c r="A335" s="66"/>
      <c r="B335" s="72"/>
      <c r="C335" s="72"/>
      <c r="D335" s="72"/>
      <c r="E335" s="72"/>
      <c r="F335" s="72"/>
      <c r="G335" s="32">
        <f>SUM(G329:G334)</f>
        <v>-990</v>
      </c>
      <c r="H335" s="26">
        <f>6*4.94</f>
        <v>29.64</v>
      </c>
      <c r="I335" s="32">
        <f>G335+H335</f>
        <v>-960.36</v>
      </c>
    </row>
    <row r="336" spans="1:9" x14ac:dyDescent="0.25">
      <c r="A336" s="66" t="s">
        <v>833</v>
      </c>
      <c r="B336" s="25" t="s">
        <v>1274</v>
      </c>
      <c r="C336" s="76"/>
      <c r="D336" s="76"/>
      <c r="E336" s="76"/>
      <c r="F336" s="76"/>
      <c r="G336" s="26"/>
      <c r="H336" s="22"/>
      <c r="I336" s="22"/>
    </row>
    <row r="337" spans="1:9" x14ac:dyDescent="0.25">
      <c r="A337" s="66"/>
      <c r="B337" s="23">
        <v>44776</v>
      </c>
      <c r="C337" s="24">
        <v>0.82693287037037033</v>
      </c>
      <c r="D337" s="33" t="s">
        <v>722</v>
      </c>
      <c r="E337" s="33" t="s">
        <v>709</v>
      </c>
      <c r="F337" s="27" t="s">
        <v>1449</v>
      </c>
      <c r="G337" s="22">
        <v>-97.5</v>
      </c>
      <c r="H337" s="22"/>
      <c r="I337" s="22"/>
    </row>
    <row r="338" spans="1:9" x14ac:dyDescent="0.25">
      <c r="A338" s="66"/>
      <c r="B338" s="23">
        <v>44777</v>
      </c>
      <c r="C338" s="24">
        <v>0.52841435185185182</v>
      </c>
      <c r="D338" s="33" t="s">
        <v>741</v>
      </c>
      <c r="E338" s="33" t="s">
        <v>709</v>
      </c>
      <c r="F338" s="27" t="s">
        <v>1237</v>
      </c>
      <c r="G338" s="22">
        <v>-234.5</v>
      </c>
      <c r="H338" s="22"/>
      <c r="I338" s="22"/>
    </row>
    <row r="339" spans="1:9" x14ac:dyDescent="0.25">
      <c r="A339" s="66"/>
      <c r="B339" s="23">
        <v>44777</v>
      </c>
      <c r="C339" s="24">
        <v>0.9225578703703704</v>
      </c>
      <c r="D339" s="33" t="s">
        <v>722</v>
      </c>
      <c r="E339" s="33" t="s">
        <v>709</v>
      </c>
      <c r="F339" s="27" t="s">
        <v>1239</v>
      </c>
      <c r="G339" s="22">
        <v>-98.5</v>
      </c>
      <c r="H339" s="22"/>
      <c r="I339" s="22"/>
    </row>
    <row r="340" spans="1:9" x14ac:dyDescent="0.25">
      <c r="A340" s="66"/>
      <c r="B340" s="72"/>
      <c r="C340" s="72"/>
      <c r="D340" s="72"/>
      <c r="E340" s="72"/>
      <c r="F340" s="72"/>
      <c r="G340" s="32">
        <f>SUM(G337:G339)</f>
        <v>-430.5</v>
      </c>
      <c r="H340" s="26">
        <f>3*4.94</f>
        <v>14.82</v>
      </c>
      <c r="I340" s="32">
        <f>G340+H340</f>
        <v>-415.68</v>
      </c>
    </row>
    <row r="341" spans="1:9" x14ac:dyDescent="0.25">
      <c r="A341" s="66" t="s">
        <v>833</v>
      </c>
      <c r="B341" s="25" t="s">
        <v>1275</v>
      </c>
      <c r="C341" s="76"/>
      <c r="D341" s="76"/>
      <c r="E341" s="76"/>
      <c r="F341" s="76"/>
      <c r="G341" s="26"/>
      <c r="H341" s="22"/>
      <c r="I341" s="22"/>
    </row>
    <row r="342" spans="1:9" x14ac:dyDescent="0.25">
      <c r="A342" s="66"/>
      <c r="B342" s="23">
        <v>44777</v>
      </c>
      <c r="C342" s="24">
        <v>0.82807870370370373</v>
      </c>
      <c r="D342" s="33" t="s">
        <v>722</v>
      </c>
      <c r="E342" s="33" t="s">
        <v>709</v>
      </c>
      <c r="F342" s="27" t="s">
        <v>1243</v>
      </c>
      <c r="G342" s="22">
        <v>-1834.5</v>
      </c>
      <c r="H342" s="22"/>
      <c r="I342" s="22"/>
    </row>
    <row r="343" spans="1:9" x14ac:dyDescent="0.25">
      <c r="A343" s="66"/>
      <c r="B343" s="23">
        <v>44777</v>
      </c>
      <c r="C343" s="24">
        <v>0.82947916666666666</v>
      </c>
      <c r="D343" s="33" t="s">
        <v>722</v>
      </c>
      <c r="E343" s="33" t="s">
        <v>709</v>
      </c>
      <c r="F343" s="27" t="s">
        <v>1241</v>
      </c>
      <c r="G343" s="22">
        <v>-156.5</v>
      </c>
      <c r="H343" s="22"/>
      <c r="I343" s="22"/>
    </row>
    <row r="344" spans="1:9" x14ac:dyDescent="0.25">
      <c r="A344" s="66"/>
      <c r="B344" s="72"/>
      <c r="C344" s="72"/>
      <c r="D344" s="72"/>
      <c r="E344" s="72"/>
      <c r="F344" s="72"/>
      <c r="G344" s="32">
        <f>SUM(G342:G343)</f>
        <v>-1991</v>
      </c>
      <c r="H344" s="26">
        <f>2*4.94</f>
        <v>9.8800000000000008</v>
      </c>
      <c r="I344" s="32">
        <f>G344+H344</f>
        <v>-1981.12</v>
      </c>
    </row>
    <row r="345" spans="1:9" x14ac:dyDescent="0.25">
      <c r="A345" s="66" t="s">
        <v>833</v>
      </c>
      <c r="B345" s="25" t="s">
        <v>1276</v>
      </c>
      <c r="C345" s="76"/>
      <c r="D345" s="76"/>
      <c r="E345" s="76"/>
      <c r="F345" s="76"/>
      <c r="G345" s="26"/>
      <c r="H345" s="22"/>
      <c r="I345" s="22"/>
    </row>
    <row r="346" spans="1:9" x14ac:dyDescent="0.25">
      <c r="A346" s="66"/>
      <c r="B346" s="42">
        <v>44774</v>
      </c>
      <c r="C346" s="43">
        <v>0.53888888888888886</v>
      </c>
      <c r="D346" s="54" t="s">
        <v>742</v>
      </c>
      <c r="E346" s="54" t="s">
        <v>709</v>
      </c>
      <c r="F346" s="45" t="s">
        <v>1623</v>
      </c>
      <c r="G346" s="44">
        <v>-1</v>
      </c>
      <c r="H346" s="22"/>
      <c r="I346" s="22"/>
    </row>
    <row r="347" spans="1:9" x14ac:dyDescent="0.25">
      <c r="A347" s="66"/>
      <c r="B347" s="28">
        <v>44774</v>
      </c>
      <c r="C347" s="29">
        <v>0.81773148148148145</v>
      </c>
      <c r="D347" s="34" t="s">
        <v>743</v>
      </c>
      <c r="E347" s="34" t="s">
        <v>709</v>
      </c>
      <c r="F347" s="31" t="s">
        <v>1616</v>
      </c>
      <c r="G347" s="30">
        <v>-137.5</v>
      </c>
      <c r="H347" s="22"/>
      <c r="I347" s="22"/>
    </row>
    <row r="348" spans="1:9" x14ac:dyDescent="0.25">
      <c r="A348" s="66"/>
      <c r="B348" s="23">
        <v>44777</v>
      </c>
      <c r="C348" s="24">
        <v>0.39518518518518514</v>
      </c>
      <c r="D348" s="33" t="s">
        <v>742</v>
      </c>
      <c r="E348" s="33" t="s">
        <v>709</v>
      </c>
      <c r="F348" s="27" t="s">
        <v>1245</v>
      </c>
      <c r="G348" s="22">
        <v>-372.5</v>
      </c>
      <c r="H348" s="22"/>
      <c r="I348" s="22"/>
    </row>
    <row r="349" spans="1:9" x14ac:dyDescent="0.25">
      <c r="A349" s="66"/>
      <c r="B349" s="23">
        <v>44777</v>
      </c>
      <c r="C349" s="24">
        <v>0.83159722222222221</v>
      </c>
      <c r="D349" s="33" t="s">
        <v>901</v>
      </c>
      <c r="E349" s="33" t="s">
        <v>709</v>
      </c>
      <c r="F349" s="27" t="s">
        <v>1247</v>
      </c>
      <c r="G349" s="22">
        <v>-80.5</v>
      </c>
      <c r="H349" s="22"/>
      <c r="I349" s="22"/>
    </row>
    <row r="350" spans="1:9" x14ac:dyDescent="0.25">
      <c r="A350" s="66"/>
      <c r="B350" s="23">
        <v>44777</v>
      </c>
      <c r="C350" s="24">
        <v>0.90766203703703707</v>
      </c>
      <c r="D350" s="33" t="s">
        <v>722</v>
      </c>
      <c r="E350" s="33" t="s">
        <v>709</v>
      </c>
      <c r="F350" s="27" t="s">
        <v>1249</v>
      </c>
      <c r="G350" s="22">
        <v>-112.5</v>
      </c>
      <c r="H350" s="22"/>
      <c r="I350" s="22"/>
    </row>
    <row r="351" spans="1:9" x14ac:dyDescent="0.25">
      <c r="A351" s="66"/>
      <c r="B351" s="23">
        <v>44777</v>
      </c>
      <c r="C351" s="24">
        <v>0.94589120370370372</v>
      </c>
      <c r="D351" s="33" t="s">
        <v>722</v>
      </c>
      <c r="E351" s="33" t="s">
        <v>709</v>
      </c>
      <c r="F351" s="27" t="s">
        <v>1251</v>
      </c>
      <c r="G351" s="22">
        <v>-188.5</v>
      </c>
      <c r="H351" s="22"/>
      <c r="I351" s="22"/>
    </row>
    <row r="352" spans="1:9" x14ac:dyDescent="0.25">
      <c r="A352" s="66"/>
      <c r="B352" s="23">
        <v>44777</v>
      </c>
      <c r="C352" s="24">
        <v>0.94895833333333324</v>
      </c>
      <c r="D352" s="33" t="s">
        <v>722</v>
      </c>
      <c r="E352" s="33" t="s">
        <v>709</v>
      </c>
      <c r="F352" s="27" t="s">
        <v>1253</v>
      </c>
      <c r="G352" s="22">
        <v>-732.5</v>
      </c>
      <c r="H352" s="22"/>
      <c r="I352" s="22"/>
    </row>
    <row r="353" spans="1:9" s="21" customFormat="1" x14ac:dyDescent="0.25">
      <c r="A353" s="66"/>
      <c r="B353" s="72"/>
      <c r="C353" s="72"/>
      <c r="D353" s="72"/>
      <c r="E353" s="72"/>
      <c r="F353" s="72"/>
      <c r="G353" s="32">
        <f>SUM(G346:G352)</f>
        <v>-1625</v>
      </c>
      <c r="H353" s="26">
        <f>7*4.94</f>
        <v>34.580000000000005</v>
      </c>
      <c r="I353" s="32">
        <f>G353+H353</f>
        <v>-1590.42</v>
      </c>
    </row>
    <row r="354" spans="1:9" x14ac:dyDescent="0.25">
      <c r="A354" s="22"/>
      <c r="B354" s="23"/>
      <c r="C354" s="24"/>
      <c r="D354" s="33"/>
      <c r="E354" s="33"/>
      <c r="F354" s="22"/>
      <c r="G354" s="22"/>
      <c r="H354" s="22">
        <f>SUM(H3:H353)</f>
        <v>1447.4200000000008</v>
      </c>
      <c r="I354" s="22">
        <f>SUM(I3:I353)</f>
        <v>-59089.58</v>
      </c>
    </row>
    <row r="355" spans="1:9" ht="15.75" x14ac:dyDescent="0.25">
      <c r="A355" s="22"/>
      <c r="B355" s="67" t="s">
        <v>713</v>
      </c>
      <c r="C355" s="68"/>
      <c r="D355" s="68"/>
      <c r="E355" s="68"/>
      <c r="F355" s="69"/>
      <c r="G355" s="22"/>
      <c r="H355" s="36">
        <f>H354/1.16</f>
        <v>1247.7758620689663</v>
      </c>
      <c r="I355" s="22"/>
    </row>
    <row r="357" spans="1:9" ht="15.75" x14ac:dyDescent="0.25">
      <c r="B357" s="70" t="s">
        <v>834</v>
      </c>
      <c r="C357" s="71"/>
      <c r="D357" s="71"/>
      <c r="E357" s="71"/>
      <c r="F357" s="71"/>
      <c r="H357" s="37">
        <f>H355*0.16</f>
        <v>199.64413793103461</v>
      </c>
    </row>
    <row r="358" spans="1:9" ht="15.75" thickBot="1" x14ac:dyDescent="0.3"/>
    <row r="359" spans="1:9" ht="21.75" thickBot="1" x14ac:dyDescent="0.4">
      <c r="B359" s="58" t="s">
        <v>835</v>
      </c>
      <c r="C359" s="59"/>
      <c r="D359" s="59"/>
      <c r="E359" s="59"/>
      <c r="F359" s="59"/>
      <c r="G359" s="60">
        <f>I354*-1</f>
        <v>59089.58</v>
      </c>
      <c r="H359" s="61"/>
      <c r="I359" s="62"/>
    </row>
    <row r="360" spans="1:9" ht="15.75" thickBot="1" x14ac:dyDescent="0.3"/>
    <row r="361" spans="1:9" ht="21.75" thickBot="1" x14ac:dyDescent="0.4">
      <c r="B361" s="58" t="s">
        <v>836</v>
      </c>
      <c r="C361" s="59"/>
      <c r="D361" s="59"/>
      <c r="E361" s="59"/>
      <c r="F361" s="59"/>
      <c r="G361" s="60">
        <v>58997.48</v>
      </c>
      <c r="H361" s="61"/>
      <c r="I361" s="62"/>
    </row>
  </sheetData>
  <sortState xmlns:xlrd2="http://schemas.microsoft.com/office/spreadsheetml/2017/richdata2" ref="A3:G352">
    <sortCondition ref="A4:A352"/>
    <sortCondition ref="B4:B352"/>
    <sortCondition ref="C4:C352"/>
  </sortState>
  <mergeCells count="89">
    <mergeCell ref="A3:A14"/>
    <mergeCell ref="A15:A21"/>
    <mergeCell ref="A22:A29"/>
    <mergeCell ref="A30:A52"/>
    <mergeCell ref="C158:F158"/>
    <mergeCell ref="B157:F157"/>
    <mergeCell ref="C3:F3"/>
    <mergeCell ref="C15:F15"/>
    <mergeCell ref="C22:F22"/>
    <mergeCell ref="C30:F30"/>
    <mergeCell ref="C53:F53"/>
    <mergeCell ref="C65:F65"/>
    <mergeCell ref="C72:F72"/>
    <mergeCell ref="C86:F86"/>
    <mergeCell ref="C110:F110"/>
    <mergeCell ref="C147:F147"/>
    <mergeCell ref="C345:F345"/>
    <mergeCell ref="B14:F14"/>
    <mergeCell ref="B21:F21"/>
    <mergeCell ref="B29:F29"/>
    <mergeCell ref="B52:F52"/>
    <mergeCell ref="B64:F64"/>
    <mergeCell ref="B71:F71"/>
    <mergeCell ref="B85:F85"/>
    <mergeCell ref="B109:F109"/>
    <mergeCell ref="B146:F146"/>
    <mergeCell ref="C290:F290"/>
    <mergeCell ref="C300:F300"/>
    <mergeCell ref="C324:F324"/>
    <mergeCell ref="C328:F328"/>
    <mergeCell ref="C336:F336"/>
    <mergeCell ref="C341:F341"/>
    <mergeCell ref="B340:F340"/>
    <mergeCell ref="B294:F294"/>
    <mergeCell ref="B174:F174"/>
    <mergeCell ref="B206:F206"/>
    <mergeCell ref="B235:F235"/>
    <mergeCell ref="B264:F264"/>
    <mergeCell ref="B276:F276"/>
    <mergeCell ref="B281:F281"/>
    <mergeCell ref="B280:F280"/>
    <mergeCell ref="C175:F175"/>
    <mergeCell ref="C207:F207"/>
    <mergeCell ref="C236:F236"/>
    <mergeCell ref="C265:F265"/>
    <mergeCell ref="C277:F277"/>
    <mergeCell ref="C282:F282"/>
    <mergeCell ref="A147:A157"/>
    <mergeCell ref="B344:F344"/>
    <mergeCell ref="B353:F353"/>
    <mergeCell ref="B36:F36"/>
    <mergeCell ref="B114:F114"/>
    <mergeCell ref="B124:F124"/>
    <mergeCell ref="B127:F127"/>
    <mergeCell ref="B141:F141"/>
    <mergeCell ref="B161:F161"/>
    <mergeCell ref="B163:F163"/>
    <mergeCell ref="B230:F230"/>
    <mergeCell ref="B289:F289"/>
    <mergeCell ref="B299:F299"/>
    <mergeCell ref="B323:F323"/>
    <mergeCell ref="B327:F327"/>
    <mergeCell ref="B335:F335"/>
    <mergeCell ref="A53:A64"/>
    <mergeCell ref="A65:A71"/>
    <mergeCell ref="A72:A85"/>
    <mergeCell ref="A86:A109"/>
    <mergeCell ref="A110:A146"/>
    <mergeCell ref="A175:A206"/>
    <mergeCell ref="A207:A235"/>
    <mergeCell ref="A236:A264"/>
    <mergeCell ref="A265:A276"/>
    <mergeCell ref="A277:A281"/>
    <mergeCell ref="B361:F361"/>
    <mergeCell ref="G361:I361"/>
    <mergeCell ref="A1:I1"/>
    <mergeCell ref="A341:A344"/>
    <mergeCell ref="A345:A353"/>
    <mergeCell ref="B355:F355"/>
    <mergeCell ref="B357:F357"/>
    <mergeCell ref="B359:F359"/>
    <mergeCell ref="G359:I359"/>
    <mergeCell ref="A282:A289"/>
    <mergeCell ref="A290:A299"/>
    <mergeCell ref="A300:A323"/>
    <mergeCell ref="A324:A327"/>
    <mergeCell ref="A328:A335"/>
    <mergeCell ref="A336:A340"/>
    <mergeCell ref="A158:A174"/>
  </mergeCells>
  <printOptions horizontalCentered="1"/>
  <pageMargins left="0.43307086614173229" right="0.43307086614173229" top="0.51181102362204722" bottom="0.51181102362204722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Sucursales</vt:lpstr>
      <vt:lpstr>Inicio</vt:lpstr>
      <vt:lpstr>08 AGOSTO_Dif_Cobros</vt:lpstr>
      <vt:lpstr>08 AGOSTO_Dif_Conceptos</vt:lpstr>
      <vt:lpstr>no empatados_05.08.2022</vt:lpstr>
      <vt:lpstr>empatados_05.08.2022</vt:lpstr>
      <vt:lpstr>05.08.2022</vt:lpstr>
      <vt:lpstr>COMISIONES_03.08.2022</vt:lpstr>
      <vt:lpstr>SERVICIOS_03.08.2022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SOPORTE</cp:lastModifiedBy>
  <cp:lastPrinted>2022-06-03T12:38:23Z</cp:lastPrinted>
  <dcterms:created xsi:type="dcterms:W3CDTF">2022-04-23T15:31:25Z</dcterms:created>
  <dcterms:modified xsi:type="dcterms:W3CDTF">2022-08-06T18:14:04Z</dcterms:modified>
</cp:coreProperties>
</file>